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Seasons" sheetId="2" state="visible" r:id="rId4"/>
    <sheet name="Season Champions" sheetId="3" state="visible" r:id="rId5"/>
    <sheet name="Hall of Fame" sheetId="4" state="visible" r:id="rId6"/>
    <sheet name="Your Career (thowd)" sheetId="5" state="visible" r:id="rId7"/>
    <sheet name="League Awards" sheetId="6" state="visible" r:id="rId8"/>
  </sheets>
  <definedNames>
    <definedName function="false" hidden="true" localSheetId="1" name="_xlnm._FilterDatabase" vbProcedure="false">'All Seasons'!$A$1:$M$163</definedName>
    <definedName function="false" hidden="true" localSheetId="3" name="_xlnm._FilterDatabase" vbProcedure="false">'Hall of Fame'!$A$1:$J$15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<sst xmlns="http://schemas.openxmlformats.org/spreadsheetml/2006/main" count="642" uniqueCount="198">
  <si>
    <t xml:space="preserve">SUNDAY FUNDAY — LEAGUE HISTORY</t>
  </si>
  <si>
    <t xml:space="preserve">Sleeper league 1313676998056378368 (2019-2025) + manually curated ESPN-era records (2012-2018)</t>
  </si>
  <si>
    <t xml:space="preserve">Seasons covered: 2012 (founding season, ESPN) through 2025 (Sleeper). 14 seasons total.</t>
  </si>
  <si>
    <t xml:space="preserve">2026 is pre-draft with no games played and is excluded from all stats.</t>
  </si>
  <si>
    <t xml:space="preserve">Sheets:</t>
  </si>
  <si>
    <t xml:space="preserve">  All Seasons — every team's regular-season finish, record, points, and playoff result, every year.</t>
  </si>
  <si>
    <t xml:space="preserve">  Season Champions — champion / runner-up / 3rd / 4th by year.</t>
  </si>
  <si>
    <t xml:space="preserve">  Hall of Fame — career totals per manager, formula-driven from All Seasons.</t>
  </si>
  <si>
    <t xml:space="preserve">  Your Career (thowd) — year-by-year finish for your team specifically.</t>
  </si>
  <si>
    <t xml:space="preserve">  League Awards — luck rating, point differential, season superlatives, and manager badges.</t>
  </si>
  <si>
    <t xml:space="preserve">Notes on data:</t>
  </si>
  <si>
    <t xml:space="preserve">  Champion / Runner-up / 3rd / 4th for 2019-2025 come directly from Sleeper's completed winners bracket.</t>
  </si>
  <si>
    <t xml:space="preserve">  For 2012-2018 (ESPN era) they're derived from the source file's "Place Finished" column, which was</t>
  </si>
  <si>
    <t xml:space="preserve">  confirmed to already reflect final post-playoff standing (cross-checked against 2019/2020 overlap years).</t>
  </si>
  <si>
    <t xml:space="preserve">  "Made Playoffs" = the other 2 of 6 playoff teams each year (12-team seasons, 2015 on); their exact</t>
  </si>
  <si>
    <t xml:space="preserve">  5th/6th-place result isn't separately tracked in either source, so it isn't split out. 2012-2014 was a</t>
  </si>
  <si>
    <t xml:space="preserve">  10-team league with a 4-team playoff, so only places 1-4 show a playoff result there — 5th and lower missed.</t>
  </si>
  <si>
    <t xml:space="preserve">  Regular-season rank for 2012-2018 was computed from win-loss-points using the same method as 2019-2025</t>
  </si>
  <si>
    <t xml:space="preserve">  (wins desc, points-for as tiebreak) since the source file only provided final standing, not reg. season rank.</t>
  </si>
  <si>
    <t xml:space="preserve">  Team names for 2012-2018 use each manager's franchise title from the source file's all-time key,</t>
  </si>
  <si>
    <t xml:space="preserve">  not necessarily that exact season's in-app team name.</t>
  </si>
  <si>
    <t xml:space="preserve">Franchise continuity (owner handoffs treated as one continuous line, matching this league's own convention</t>
  </si>
  <si>
    <t xml:space="preserve">of a franchise slot passing between owners):</t>
  </si>
  <si>
    <t xml:space="preserve">  jphn744 = John Hartnett (2012-2018) → continued under this Sleeper handle from 2019.</t>
  </si>
  <si>
    <t xml:space="preserve">  YungSimba = Nick Pellegrini (2012-2018) → continued under this Sleeper handle from 2019.</t>
  </si>
  <si>
    <t xml:space="preserve">  TylerKeel's franchise includes an earlier "Robertson"-era portion per the source file's own footnote.</t>
  </si>
  <si>
    <t xml:space="preserve">  dnevels8's franchise includes an earlier "Engler"-era portion per the source file's own footnote.</t>
  </si>
  <si>
    <t xml:space="preserve">Season</t>
  </si>
  <si>
    <t xml:space="preserve">Reg. Season Rank</t>
  </si>
  <si>
    <t xml:space="preserve">Manager</t>
  </si>
  <si>
    <t xml:space="preserve">Team Name</t>
  </si>
  <si>
    <t xml:space="preserve">W</t>
  </si>
  <si>
    <t xml:space="preserve">L</t>
  </si>
  <si>
    <t xml:space="preserve">Points For</t>
  </si>
  <si>
    <t xml:space="preserve">Playoff Result</t>
  </si>
  <si>
    <t xml:space="preserve">Points Against</t>
  </si>
  <si>
    <t xml:space="preserve">Point Diff</t>
  </si>
  <si>
    <t xml:space="preserve">Pyth. Win %</t>
  </si>
  <si>
    <t xml:space="preserve">Luck Rating</t>
  </si>
  <si>
    <t xml:space="preserve">Last Place?</t>
  </si>
  <si>
    <t xml:space="preserve">peterbrune</t>
  </si>
  <si>
    <t xml:space="preserve">Butt Fumble</t>
  </si>
  <si>
    <t xml:space="preserve">4th Place</t>
  </si>
  <si>
    <t xml:space="preserve">GBClark</t>
  </si>
  <si>
    <t xml:space="preserve">Ray Rice Elevator Party</t>
  </si>
  <si>
    <t xml:space="preserve">3rd Place</t>
  </si>
  <si>
    <t xml:space="preserve">JPeters19</t>
  </si>
  <si>
    <t xml:space="preserve">The Under Achievers</t>
  </si>
  <si>
    <t xml:space="preserve">Champion</t>
  </si>
  <si>
    <t xml:space="preserve">kdavis</t>
  </si>
  <si>
    <t xml:space="preserve">Team KSOD</t>
  </si>
  <si>
    <t xml:space="preserve">Runner-Up</t>
  </si>
  <si>
    <t xml:space="preserve">YungSimba</t>
  </si>
  <si>
    <t xml:space="preserve">Dear Kevin White People</t>
  </si>
  <si>
    <t xml:space="preserve">Missed Playoffs</t>
  </si>
  <si>
    <t xml:space="preserve">thowd</t>
  </si>
  <si>
    <t xml:space="preserve">I'm Diggin' This Gurley</t>
  </si>
  <si>
    <t xml:space="preserve">TylerKeel</t>
  </si>
  <si>
    <t xml:space="preserve">Jimmy Graham's Crackers</t>
  </si>
  <si>
    <t xml:space="preserve">assif</t>
  </si>
  <si>
    <t xml:space="preserve">WhoFalseStarted FML</t>
  </si>
  <si>
    <t xml:space="preserve">jphn744</t>
  </si>
  <si>
    <t xml:space="preserve">I'm Jonesin For De Hops</t>
  </si>
  <si>
    <t xml:space="preserve">bcorrigan30</t>
  </si>
  <si>
    <t xml:space="preserve">Chalupa Batmans</t>
  </si>
  <si>
    <t xml:space="preserve">SeanOMara</t>
  </si>
  <si>
    <t xml:space="preserve">Down with ODB? Yeah u know me</t>
  </si>
  <si>
    <t xml:space="preserve">Made Playoffs</t>
  </si>
  <si>
    <t xml:space="preserve">dnevels8</t>
  </si>
  <si>
    <t xml:space="preserve">Andre Thundacock</t>
  </si>
  <si>
    <t xml:space="preserve">My Ball Zach Ertz</t>
  </si>
  <si>
    <t xml:space="preserve">Multiple Goregasms</t>
  </si>
  <si>
    <t xml:space="preserve">Le'Veon on a Jet Plane</t>
  </si>
  <si>
    <t xml:space="preserve">KC Chiefs Turf Team</t>
  </si>
  <si>
    <t xml:space="preserve">CAM JUju DIGGs IT!?!?</t>
  </si>
  <si>
    <t xml:space="preserve">Cookin Up A Thielen</t>
  </si>
  <si>
    <t xml:space="preserve">New phone, who Dissly?</t>
  </si>
  <si>
    <t xml:space="preserve">You Are What You Ito</t>
  </si>
  <si>
    <t xml:space="preserve">The Return of OJ</t>
  </si>
  <si>
    <t xml:space="preserve">KSOD</t>
  </si>
  <si>
    <t xml:space="preserve">Golden Tees</t>
  </si>
  <si>
    <t xml:space="preserve">Pump the Drakes</t>
  </si>
  <si>
    <t xml:space="preserve">Cookin' with Mahomies</t>
  </si>
  <si>
    <t xml:space="preserve">You Lockett Up!</t>
  </si>
  <si>
    <t xml:space="preserve">Go Shawty Its Herbert Day</t>
  </si>
  <si>
    <t xml:space="preserve">#Champions</t>
  </si>
  <si>
    <t xml:space="preserve">Koo Whip</t>
  </si>
  <si>
    <t xml:space="preserve">Chillin@the Golladay Inn</t>
  </si>
  <si>
    <t xml:space="preserve">Let Russ Cook</t>
  </si>
  <si>
    <t xml:space="preserve">Beats by DeAndre</t>
  </si>
  <si>
    <t xml:space="preserve">Adams Family of Receivers</t>
  </si>
  <si>
    <t xml:space="preserve">He Hurts Me</t>
  </si>
  <si>
    <t xml:space="preserve">Lights, Kamara, Action!</t>
  </si>
  <si>
    <t xml:space="preserve">Football Team</t>
  </si>
  <si>
    <t xml:space="preserve">My FANTasy team</t>
  </si>
  <si>
    <t xml:space="preserve">Hasta Laviska</t>
  </si>
  <si>
    <t xml:space="preserve">Lamar's Donuts</t>
  </si>
  <si>
    <t xml:space="preserve">Big Chubb Energy</t>
  </si>
  <si>
    <t xml:space="preserve">Oatmeal Kareem Pie</t>
  </si>
  <si>
    <t xml:space="preserve">Gettin' Diggy With It</t>
  </si>
  <si>
    <t xml:space="preserve">Chubby Chasers</t>
  </si>
  <si>
    <t xml:space="preserve">CDL Required</t>
  </si>
  <si>
    <t xml:space="preserve">D'Andre 3000</t>
  </si>
  <si>
    <t xml:space="preserve">Austin 3:16</t>
  </si>
  <si>
    <t xml:space="preserve">Kelce You Later</t>
  </si>
  <si>
    <t xml:space="preserve">Man on the Mooney</t>
  </si>
  <si>
    <t xml:space="preserve">Dark side, Strong side</t>
  </si>
  <si>
    <t xml:space="preserve">Golden Tee Higgins</t>
  </si>
  <si>
    <t xml:space="preserve">Canadian Tuxedos</t>
  </si>
  <si>
    <t xml:space="preserve">Tua Much 2 Little 2 Late</t>
  </si>
  <si>
    <t xml:space="preserve">Play The Fields</t>
  </si>
  <si>
    <t xml:space="preserve">The Kelce Era</t>
  </si>
  <si>
    <t xml:space="preserve">Keenan Season</t>
  </si>
  <si>
    <t xml:space="preserve">Olave it</t>
  </si>
  <si>
    <t xml:space="preserve">Super Ja'Marrio Brothers</t>
  </si>
  <si>
    <t xml:space="preserve">Teeth Optional</t>
  </si>
  <si>
    <t xml:space="preserve">Najee by Nature</t>
  </si>
  <si>
    <t xml:space="preserve">Bed, Bath, and Bijan</t>
  </si>
  <si>
    <t xml:space="preserve">amenr5</t>
  </si>
  <si>
    <t xml:space="preserve">Burrowhead My Ass</t>
  </si>
  <si>
    <t xml:space="preserve">CeeDeez Nuts</t>
  </si>
  <si>
    <t xml:space="preserve">Puka and Rally</t>
  </si>
  <si>
    <t xml:space="preserve">Keughes</t>
  </si>
  <si>
    <t xml:space="preserve">M.A.K.A</t>
  </si>
  <si>
    <t xml:space="preserve">Howdy Nabers!</t>
  </si>
  <si>
    <t xml:space="preserve">Real Slim Shadys</t>
  </si>
  <si>
    <t xml:space="preserve">Noon Tee Time</t>
  </si>
  <si>
    <t xml:space="preserve">Hock Tua</t>
  </si>
  <si>
    <t xml:space="preserve">OlaveWhenYouCallMeBigPapa</t>
  </si>
  <si>
    <t xml:space="preserve">LaPorta Potty</t>
  </si>
  <si>
    <t xml:space="preserve">Malort &amp; Savior</t>
  </si>
  <si>
    <t xml:space="preserve">Love is Through the Air</t>
  </si>
  <si>
    <t xml:space="preserve">Showtime to Hollywood</t>
  </si>
  <si>
    <t xml:space="preserve">Gettin' Jeanty With It</t>
  </si>
  <si>
    <t xml:space="preserve">Run CM-Sun God</t>
  </si>
  <si>
    <t xml:space="preserve">Jacob's Ladder To 1st</t>
  </si>
  <si>
    <t xml:space="preserve">CeeDeez Nuts 2.0</t>
  </si>
  <si>
    <t xml:space="preserve">Puka and Rally 2.0</t>
  </si>
  <si>
    <t xml:space="preserve">We Built This Griddy</t>
  </si>
  <si>
    <t xml:space="preserve">The Pitts</t>
  </si>
  <si>
    <t xml:space="preserve">JaBucky</t>
  </si>
  <si>
    <t xml:space="preserve">Formulas array-match manager names from All Seasons by season + playoff result (Ctrl+Shift+Enter compatible; openpyxl-recalculated).</t>
  </si>
  <si>
    <t xml:space="preserve">Seasons Played</t>
  </si>
  <si>
    <t xml:space="preserve">Championships</t>
  </si>
  <si>
    <t xml:space="preserve">Runner-Ups</t>
  </si>
  <si>
    <t xml:space="preserve">3rd Places</t>
  </si>
  <si>
    <t xml:space="preserve">Playoff Appearances</t>
  </si>
  <si>
    <t xml:space="preserve">Career W</t>
  </si>
  <si>
    <t xml:space="preserve">Career L</t>
  </si>
  <si>
    <t xml:space="preserve">Win %</t>
  </si>
  <si>
    <t xml:space="preserve">Career Points For</t>
  </si>
  <si>
    <t xml:space="preserve">thowd's row highlighted for reference. Sort by Championships / Win % as you like — this is a live filterable table.</t>
  </si>
  <si>
    <t xml:space="preserve">CAREER</t>
  </si>
  <si>
    <t xml:space="preserve">Career Win %</t>
  </si>
  <si>
    <t xml:space="preserve">LEAGUE AWARDS</t>
  </si>
  <si>
    <t xml:space="preserve">Luck rating, point differential, and career superlatives — modeled on the stat categories dedicated league-history tools (e.g. Fantasy Record Book) track.</t>
  </si>
  <si>
    <t xml:space="preserve">TROPHY CASE</t>
  </si>
  <si>
    <t xml:space="preserve">Seasons</t>
  </si>
  <si>
    <t xml:space="preserve">Titles</t>
  </si>
  <si>
    <t xml:space="preserve">Sackos</t>
  </si>
  <si>
    <t xml:space="preserve">Career PF</t>
  </si>
  <si>
    <t xml:space="preserve">Career PA</t>
  </si>
  <si>
    <t xml:space="preserve">Avg Luck Rating</t>
  </si>
  <si>
    <t xml:space="preserve">Sacko = worst regular-season finish that year (proxy for last place; not a separately tracked award in either source).</t>
  </si>
  <si>
    <t xml:space="preserve">Luck Rating = actual win% minus Pythagorean-expected win% (based on points scored vs. allowed, exponent 2.37). Positive = overperformed points; negative = underperformed.</t>
  </si>
  <si>
    <t xml:space="preserve">SEASON SUPERLATIVES</t>
  </si>
  <si>
    <t xml:space="preserve">Highest Scorer</t>
  </si>
  <si>
    <t xml:space="preserve">Best Record</t>
  </si>
  <si>
    <t xml:space="preserve">Luckiest Team</t>
  </si>
  <si>
    <t xml:space="preserve">Unluckiest Team</t>
  </si>
  <si>
    <t xml:space="preserve">MANAGER BADGES</t>
  </si>
  <si>
    <t xml:space="preserve">A read of each manager's career shape — not a formula output, just the story the numbers tell.</t>
  </si>
  <si>
    <t xml:space="preserve">Badge</t>
  </si>
  <si>
    <t xml:space="preserve">Why</t>
  </si>
  <si>
    <t xml:space="preserve">The Closer</t>
  </si>
  <si>
    <t xml:space="preserve">5 titles from 10 playoff trips (50% conversion) — the best in league history at finishing the job.</t>
  </si>
  <si>
    <t xml:space="preserve">Iron Throne, Empty Hand</t>
  </si>
  <si>
    <t xml:space="preserve">Best career win% (62%) and the most playoff trips (12) of anyone, but only 2 titles (17% conversion) — the best regular-season team that can't close, including a 12-1 season that ended in 4th.</t>
  </si>
  <si>
    <t xml:space="preserve">Bronze Standard</t>
  </si>
  <si>
    <t xml:space="preserve">6 third-place finishes across 14 seasons and zero titles — reaches the final four almost every deep run, never wins it.</t>
  </si>
  <si>
    <t xml:space="preserve">Big Game Hunter</t>
  </si>
  <si>
    <t xml:space="preserve">3 titles (2017, 2019, 2025) in 8 playoff trips — the only manager active in both the ESPN and Sleeper eras to win a championship in each.</t>
  </si>
  <si>
    <t xml:space="preserve">Wooden Spoon King</t>
  </si>
  <si>
    <t xml:space="preserve">3 last-place finishes, more than anyone else, including the worst single season in league history (1-12 in 2018).</t>
  </si>
  <si>
    <t xml:space="preserve">Boom or Bust</t>
  </si>
  <si>
    <t xml:space="preserve">Set the all-time single-season scoring record (1912.3 in 2021) — and lost that year's championship anyway.</t>
  </si>
  <si>
    <t xml:space="preserve">The Nearly Man</t>
  </si>
  <si>
    <t xml:space="preserve">3 fourth-place finishes, the most of anyone at that exact spot — agonizingly close, repeatedly.</t>
  </si>
  <si>
    <t xml:space="preserve">Late Arrival, Fast Learner</t>
  </si>
  <si>
    <t xml:space="preserve">Joined as an expansion team in 2015 and already has a title (2020) despite the shortest tenure of the long-time managers.</t>
  </si>
  <si>
    <t xml:space="preserve">Journeyman</t>
  </si>
  <si>
    <t xml:space="preserve">14 seasons, 5 playoff trips, 0 titles — the definition of the league's steady middle class.</t>
  </si>
  <si>
    <t xml:space="preserve">Feast or Famine</t>
  </si>
  <si>
    <t xml:space="preserve">11 seasons split between deep playoff runs (a 3rd place finish) and a last-place year — no in-between.</t>
  </si>
  <si>
    <t xml:space="preserve">Foundational, Fadeless</t>
  </si>
  <si>
    <t xml:space="preserve">One of the league's 2012 founders; 11 seasons without a title, but never the league's worst team either.</t>
  </si>
  <si>
    <t xml:space="preserve">Too Early to Tell</t>
  </si>
  <si>
    <t xml:space="preserve">Only 3 seasons in — the newest long-tenured manager still building a track record.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</si>
</sst>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\+0.0%;\-0.0%"/>
    <numFmt numFmtId="168" formatCode="General"/>
    <numFmt numFmtId="169" formatCode="#,##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9C7A10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0E142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9C7A1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9C7A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9C7A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7A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537"/>
        <bgColor rgb="FF0E1420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rgb="FFE8D9B5"/>
        <bgColor rgb="FFD9D9D9"/>
      </patternFill>
    </fill>
    <fill>
      <patternFill patternType="solid">
        <fgColor rgb="FFC9A227"/>
        <bgColor rgb="FF9C7A10"/>
      </patternFill>
    </fill>
    <fill>
      <patternFill patternType="solid">
        <fgColor rgb="FFD9D9D9"/>
        <bgColor rgb="FFCCCCCC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F0F0F0"/>
      </patternFill>
    </fill>
    <fill>
      <patternFill patternType="solid">
        <fgColor rgb="FFFFF3C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253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A22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8D9B5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E142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FFF3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10"/>
      <rgbColor rgb="FF800080"/>
      <rgbColor rgb="FF008080"/>
      <rgbColor rgb="FFCCCCCC"/>
      <rgbColor rgb="FF888888"/>
      <rgbColor rgb="FF9999FF"/>
      <rgbColor rgb="FF993366"/>
      <rgbColor rgb="FFFFF3C4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2F2F2"/>
      <rgbColor rgb="FFFFFF99"/>
      <rgbColor rgb="FF99CCFF"/>
      <rgbColor rgb="FFFF99CC"/>
      <rgbColor rgb="FFCC99FF"/>
      <rgbColor rgb="FFE8D9B5"/>
      <rgbColor rgb="FF3366FF"/>
      <rgbColor rgb="FF33CCCC"/>
      <rgbColor rgb="FF99CC00"/>
      <rgbColor rgb="FFFFCC00"/>
      <rgbColor rgb="FFC9A227"/>
      <rgbColor rgb="FFFF6600"/>
      <rgbColor rgb="FF666666"/>
      <rgbColor rgb="FFAAAAAA"/>
      <rgbColor rgb="FF003366"/>
      <rgbColor rgb="FF339966"/>
      <rgbColor rgb="FF0E1420"/>
      <rgbColor rgb="FF333300"/>
      <rgbColor rgb="FF993300"/>
      <rgbColor rgb="FF993366"/>
      <rgbColor rgb="FF333399"/>
      <rgbColor rgb="FF1B25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2" customFormat="false" ht="24.4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</row>
    <row r="7" customFormat="false" ht="15" hidden="false" customHeight="false" outlineLevel="0" collapsed="false">
      <c r="A7" s="3" t="s">
        <v>2</v>
      </c>
    </row>
    <row r="8" customFormat="false" ht="15" hidden="false" customHeight="false" outlineLevel="0" collapsed="false">
      <c r="A8" s="3" t="s">
        <v>3</v>
      </c>
    </row>
    <row r="10" customFormat="false" ht="15" hidden="false" customHeight="false" outlineLevel="0" collapsed="false">
      <c r="A10" s="4" t="s">
        <v>4</v>
      </c>
    </row>
    <row r="11" customFormat="false" ht="15" hidden="false" customHeight="false" outlineLevel="0" collapsed="false">
      <c r="A11" s="3" t="s">
        <v>5</v>
      </c>
    </row>
    <row r="12" customFormat="false" ht="15" hidden="false" customHeight="false" outlineLevel="0" collapsed="false">
      <c r="A12" s="3" t="s">
        <v>6</v>
      </c>
    </row>
    <row r="13" customFormat="false" ht="15" hidden="false" customHeight="false" outlineLevel="0" collapsed="false">
      <c r="A13" s="3" t="s">
        <v>7</v>
      </c>
    </row>
    <row r="14" customFormat="false" ht="15" hidden="false" customHeight="false" outlineLevel="0" collapsed="false">
      <c r="A14" s="3" t="s">
        <v>8</v>
      </c>
    </row>
    <row r="15" customFormat="false" ht="15" hidden="false" customHeight="false" outlineLevel="0" collapsed="false">
      <c r="A15" s="3" t="s">
        <v>9</v>
      </c>
    </row>
    <row r="17" customFormat="false" ht="15" hidden="false" customHeight="false" outlineLevel="0" collapsed="false">
      <c r="A17" s="4" t="s">
        <v>10</v>
      </c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3" t="s">
        <v>12</v>
      </c>
    </row>
    <row r="20" customFormat="false" ht="15" hidden="false" customHeight="false" outlineLevel="0" collapsed="false">
      <c r="A20" s="3" t="s">
        <v>13</v>
      </c>
    </row>
    <row r="21" customFormat="false" ht="15" hidden="false" customHeight="false" outlineLevel="0" collapsed="false">
      <c r="A21" s="3" t="s">
        <v>14</v>
      </c>
    </row>
    <row r="22" customFormat="false" ht="15" hidden="false" customHeight="false" outlineLevel="0" collapsed="false">
      <c r="A22" s="3" t="s">
        <v>15</v>
      </c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3" t="s">
        <v>17</v>
      </c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9" customFormat="false" ht="15" hidden="false" customHeight="false" outlineLevel="0" collapsed="false">
      <c r="A29" s="5" t="s">
        <v>21</v>
      </c>
    </row>
    <row r="30" customFormat="false" ht="15" hidden="false" customHeight="false" outlineLevel="0" collapsed="false">
      <c r="A30" s="6" t="s">
        <v>22</v>
      </c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3" t="s">
        <v>25</v>
      </c>
    </row>
    <row r="34" customFormat="false" ht="15" hidden="false" customHeight="false" outlineLevel="0" collapsed="false">
      <c r="A34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6" min="5" style="0" width="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3" min="10" style="0" width="11"/>
  </cols>
  <sheetData>
    <row r="1" customFormat="false" ht="15" hidden="false" customHeight="fals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8" t="s">
        <v>39</v>
      </c>
    </row>
    <row r="2" customFormat="false" ht="15" hidden="false" customHeight="false" outlineLevel="0" collapsed="false">
      <c r="A2" s="9" t="n">
        <v>2012</v>
      </c>
      <c r="B2" s="9" t="n">
        <v>1</v>
      </c>
      <c r="C2" s="9" t="s">
        <v>40</v>
      </c>
      <c r="D2" s="9" t="s">
        <v>41</v>
      </c>
      <c r="E2" s="9" t="n">
        <v>10</v>
      </c>
      <c r="F2" s="9" t="n">
        <v>2</v>
      </c>
      <c r="G2" s="10" t="n">
        <v>1510</v>
      </c>
      <c r="H2" s="11" t="s">
        <v>42</v>
      </c>
      <c r="I2" s="10" t="n">
        <v>1333</v>
      </c>
      <c r="J2" s="12" t="n">
        <f aca="false">G2-I2</f>
        <v>177</v>
      </c>
      <c r="K2" s="13" t="n">
        <f aca="false">G2^2.37/(G2^2.37+I2^2.37)</f>
        <v>0.573338646991628</v>
      </c>
      <c r="L2" s="14" t="n">
        <f aca="false">(E2/(E2+F2))-K2</f>
        <v>0.259994686341706</v>
      </c>
      <c r="M2" s="15" t="n">
        <f aca="false">IF(B2=_xlfn.MAXIFS($B$2:$B$163,$A$2:$A$163,A2),1,0)</f>
        <v>0</v>
      </c>
    </row>
    <row r="3" customFormat="false" ht="15" hidden="false" customHeight="false" outlineLevel="0" collapsed="false">
      <c r="A3" s="16" t="n">
        <v>2012</v>
      </c>
      <c r="B3" s="16" t="n">
        <v>2</v>
      </c>
      <c r="C3" s="16" t="s">
        <v>43</v>
      </c>
      <c r="D3" s="16" t="s">
        <v>44</v>
      </c>
      <c r="E3" s="16" t="n">
        <v>9</v>
      </c>
      <c r="F3" s="16" t="n">
        <v>3</v>
      </c>
      <c r="G3" s="17" t="n">
        <v>1581</v>
      </c>
      <c r="H3" s="18" t="s">
        <v>45</v>
      </c>
      <c r="I3" s="17" t="n">
        <v>1362</v>
      </c>
      <c r="J3" s="19" t="n">
        <f aca="false">G3-I3</f>
        <v>219</v>
      </c>
      <c r="K3" s="20" t="n">
        <f aca="false">G3^2.37/(G3^2.37+I3^2.37)</f>
        <v>0.587435753288955</v>
      </c>
      <c r="L3" s="21" t="n">
        <f aca="false">(E3/(E3+F3))-K3</f>
        <v>0.162564246711045</v>
      </c>
      <c r="M3" s="15" t="n">
        <f aca="false">IF(B3=_xlfn.MAXIFS($B$2:$B$163,$A$2:$A$163,A3),1,0)</f>
        <v>0</v>
      </c>
    </row>
    <row r="4" customFormat="false" ht="15" hidden="false" customHeight="false" outlineLevel="0" collapsed="false">
      <c r="A4" s="9" t="n">
        <v>2012</v>
      </c>
      <c r="B4" s="9" t="n">
        <v>3</v>
      </c>
      <c r="C4" s="9" t="s">
        <v>46</v>
      </c>
      <c r="D4" s="9" t="s">
        <v>47</v>
      </c>
      <c r="E4" s="9" t="n">
        <v>9</v>
      </c>
      <c r="F4" s="9" t="n">
        <v>3</v>
      </c>
      <c r="G4" s="10" t="n">
        <v>1523</v>
      </c>
      <c r="H4" s="22" t="s">
        <v>48</v>
      </c>
      <c r="I4" s="10" t="n">
        <v>1400</v>
      </c>
      <c r="J4" s="12" t="n">
        <f aca="false">G4-I4</f>
        <v>123</v>
      </c>
      <c r="K4" s="13" t="n">
        <f aca="false">G4^2.37/(G4^2.37+I4^2.37)</f>
        <v>0.549729373414624</v>
      </c>
      <c r="L4" s="14" t="n">
        <f aca="false">(E4/(E4+F4))-K4</f>
        <v>0.200270626585377</v>
      </c>
      <c r="M4" s="15" t="n">
        <f aca="false">IF(B4=_xlfn.MAXIFS($B$2:$B$163,$A$2:$A$163,A4),1,0)</f>
        <v>0</v>
      </c>
    </row>
    <row r="5" customFormat="false" ht="15" hidden="false" customHeight="false" outlineLevel="0" collapsed="false">
      <c r="A5" s="16" t="n">
        <v>2012</v>
      </c>
      <c r="B5" s="16" t="n">
        <v>4</v>
      </c>
      <c r="C5" s="16" t="s">
        <v>49</v>
      </c>
      <c r="D5" s="16" t="s">
        <v>50</v>
      </c>
      <c r="E5" s="16" t="n">
        <v>6</v>
      </c>
      <c r="F5" s="16" t="n">
        <v>6</v>
      </c>
      <c r="G5" s="17" t="n">
        <v>1461</v>
      </c>
      <c r="H5" s="23" t="s">
        <v>51</v>
      </c>
      <c r="I5" s="17" t="n">
        <v>1508</v>
      </c>
      <c r="J5" s="19" t="n">
        <f aca="false">G5-I5</f>
        <v>-47</v>
      </c>
      <c r="K5" s="20" t="n">
        <f aca="false">G5^2.37/(G5^2.37+I5^2.37)</f>
        <v>0.481248390188716</v>
      </c>
      <c r="L5" s="21" t="n">
        <f aca="false">(E5/(E5+F5))-K5</f>
        <v>0.0187516098112836</v>
      </c>
      <c r="M5" s="15" t="n">
        <f aca="false">IF(B5=_xlfn.MAXIFS($B$2:$B$163,$A$2:$A$163,A5),1,0)</f>
        <v>0</v>
      </c>
    </row>
    <row r="6" customFormat="false" ht="15" hidden="false" customHeight="false" outlineLevel="0" collapsed="false">
      <c r="A6" s="9" t="n">
        <v>2012</v>
      </c>
      <c r="B6" s="9" t="n">
        <v>5</v>
      </c>
      <c r="C6" s="9" t="s">
        <v>52</v>
      </c>
      <c r="D6" s="9" t="s">
        <v>53</v>
      </c>
      <c r="E6" s="9" t="n">
        <v>6</v>
      </c>
      <c r="F6" s="9" t="n">
        <v>6</v>
      </c>
      <c r="G6" s="10" t="n">
        <v>1443</v>
      </c>
      <c r="H6" s="24" t="s">
        <v>54</v>
      </c>
      <c r="I6" s="10" t="n">
        <v>1400</v>
      </c>
      <c r="J6" s="12" t="n">
        <f aca="false">G6-I6</f>
        <v>43</v>
      </c>
      <c r="K6" s="13" t="n">
        <f aca="false">G6^2.37/(G6^2.37+I6^2.37)</f>
        <v>0.517916661173005</v>
      </c>
      <c r="L6" s="14" t="n">
        <f aca="false">(E6/(E6+F6))-K6</f>
        <v>-0.0179166611730047</v>
      </c>
      <c r="M6" s="15" t="n">
        <f aca="false">IF(B6=_xlfn.MAXIFS($B$2:$B$163,$A$2:$A$163,A6),1,0)</f>
        <v>0</v>
      </c>
    </row>
    <row r="7" customFormat="false" ht="15" hidden="false" customHeight="false" outlineLevel="0" collapsed="false">
      <c r="A7" s="16" t="n">
        <v>2012</v>
      </c>
      <c r="B7" s="16" t="n">
        <v>6</v>
      </c>
      <c r="C7" s="16" t="s">
        <v>55</v>
      </c>
      <c r="D7" s="16" t="s">
        <v>56</v>
      </c>
      <c r="E7" s="16" t="n">
        <v>5</v>
      </c>
      <c r="F7" s="16" t="n">
        <v>7</v>
      </c>
      <c r="G7" s="17" t="n">
        <v>1405</v>
      </c>
      <c r="H7" s="24" t="s">
        <v>54</v>
      </c>
      <c r="I7" s="17" t="n">
        <v>1431</v>
      </c>
      <c r="J7" s="19" t="n">
        <f aca="false">G7-I7</f>
        <v>-26</v>
      </c>
      <c r="K7" s="20" t="n">
        <f aca="false">G7^2.37/(G7^2.37+I7^2.37)</f>
        <v>0.489137512233662</v>
      </c>
      <c r="L7" s="21" t="n">
        <f aca="false">(E7/(E7+F7))-K7</f>
        <v>-0.0724708455669952</v>
      </c>
      <c r="M7" s="15" t="n">
        <f aca="false">IF(B7=_xlfn.MAXIFS($B$2:$B$163,$A$2:$A$163,A7),1,0)</f>
        <v>0</v>
      </c>
    </row>
    <row r="8" customFormat="false" ht="15" hidden="false" customHeight="false" outlineLevel="0" collapsed="false">
      <c r="A8" s="9" t="n">
        <v>2012</v>
      </c>
      <c r="B8" s="9" t="n">
        <v>7</v>
      </c>
      <c r="C8" s="9" t="s">
        <v>57</v>
      </c>
      <c r="D8" s="9" t="s">
        <v>58</v>
      </c>
      <c r="E8" s="9" t="n">
        <v>4</v>
      </c>
      <c r="F8" s="9" t="n">
        <v>8</v>
      </c>
      <c r="G8" s="10" t="n">
        <v>1370</v>
      </c>
      <c r="H8" s="24" t="s">
        <v>54</v>
      </c>
      <c r="I8" s="10" t="n">
        <v>1477</v>
      </c>
      <c r="J8" s="12" t="n">
        <f aca="false">G8-I8</f>
        <v>-107</v>
      </c>
      <c r="K8" s="13" t="n">
        <f aca="false">G8^2.37/(G8^2.37+I8^2.37)</f>
        <v>0.455560234896359</v>
      </c>
      <c r="L8" s="14" t="n">
        <f aca="false">(E8/(E8+F8))-K8</f>
        <v>-0.122226901563025</v>
      </c>
      <c r="M8" s="15" t="n">
        <f aca="false">IF(B8=_xlfn.MAXIFS($B$2:$B$163,$A$2:$A$163,A8),1,0)</f>
        <v>0</v>
      </c>
    </row>
    <row r="9" customFormat="false" ht="15" hidden="false" customHeight="false" outlineLevel="0" collapsed="false">
      <c r="A9" s="16" t="n">
        <v>2012</v>
      </c>
      <c r="B9" s="16" t="n">
        <v>8</v>
      </c>
      <c r="C9" s="16" t="s">
        <v>59</v>
      </c>
      <c r="D9" s="16" t="s">
        <v>60</v>
      </c>
      <c r="E9" s="16" t="n">
        <v>4</v>
      </c>
      <c r="F9" s="16" t="n">
        <v>8</v>
      </c>
      <c r="G9" s="17" t="n">
        <v>1353</v>
      </c>
      <c r="H9" s="24" t="s">
        <v>54</v>
      </c>
      <c r="I9" s="17" t="n">
        <v>1429</v>
      </c>
      <c r="J9" s="19" t="n">
        <f aca="false">G9-I9</f>
        <v>-76</v>
      </c>
      <c r="K9" s="20" t="n">
        <f aca="false">G9^2.37/(G9^2.37+I9^2.37)</f>
        <v>0.467664741049353</v>
      </c>
      <c r="L9" s="21" t="n">
        <f aca="false">(E9/(E9+F9))-K9</f>
        <v>-0.134331407716019</v>
      </c>
      <c r="M9" s="15" t="n">
        <f aca="false">IF(B9=_xlfn.MAXIFS($B$2:$B$163,$A$2:$A$163,A9),1,0)</f>
        <v>0</v>
      </c>
    </row>
    <row r="10" customFormat="false" ht="15" hidden="false" customHeight="false" outlineLevel="0" collapsed="false">
      <c r="A10" s="9" t="n">
        <v>2012</v>
      </c>
      <c r="B10" s="9" t="n">
        <v>9</v>
      </c>
      <c r="C10" s="9" t="s">
        <v>61</v>
      </c>
      <c r="D10" s="9" t="s">
        <v>62</v>
      </c>
      <c r="E10" s="9" t="n">
        <v>4</v>
      </c>
      <c r="F10" s="9" t="n">
        <v>8</v>
      </c>
      <c r="G10" s="10" t="n">
        <v>1143</v>
      </c>
      <c r="H10" s="24" t="s">
        <v>54</v>
      </c>
      <c r="I10" s="10" t="n">
        <v>1374</v>
      </c>
      <c r="J10" s="12" t="n">
        <f aca="false">G10-I10</f>
        <v>-231</v>
      </c>
      <c r="K10" s="13" t="n">
        <f aca="false">G10^2.37/(G10^2.37+I10^2.37)</f>
        <v>0.392635966737258</v>
      </c>
      <c r="L10" s="14" t="n">
        <f aca="false">(E10/(E10+F10))-K10</f>
        <v>-0.0593026334039245</v>
      </c>
      <c r="M10" s="15" t="n">
        <f aca="false">IF(B10=_xlfn.MAXIFS($B$2:$B$163,$A$2:$A$163,A10),1,0)</f>
        <v>0</v>
      </c>
    </row>
    <row r="11" customFormat="false" ht="15" hidden="false" customHeight="false" outlineLevel="0" collapsed="false">
      <c r="A11" s="16" t="n">
        <v>2012</v>
      </c>
      <c r="B11" s="16" t="n">
        <v>10</v>
      </c>
      <c r="C11" s="16" t="s">
        <v>63</v>
      </c>
      <c r="D11" s="16" t="s">
        <v>64</v>
      </c>
      <c r="E11" s="16" t="n">
        <v>3</v>
      </c>
      <c r="F11" s="16" t="n">
        <v>9</v>
      </c>
      <c r="G11" s="17" t="n">
        <v>1322</v>
      </c>
      <c r="H11" s="24" t="s">
        <v>54</v>
      </c>
      <c r="I11" s="17" t="n">
        <v>1397</v>
      </c>
      <c r="J11" s="19" t="n">
        <f aca="false">G11-I11</f>
        <v>-75</v>
      </c>
      <c r="K11" s="20" t="n">
        <f aca="false">G11^2.37/(G11^2.37+I11^2.37)</f>
        <v>0.467351576590112</v>
      </c>
      <c r="L11" s="21" t="n">
        <f aca="false">(E11/(E11+F11))-K11</f>
        <v>-0.217351576590112</v>
      </c>
      <c r="M11" s="15" t="n">
        <f aca="false">IF(B11=_xlfn.MAXIFS($B$2:$B$163,$A$2:$A$163,A11),1,0)</f>
        <v>1</v>
      </c>
    </row>
    <row r="12" customFormat="false" ht="15" hidden="false" customHeight="false" outlineLevel="0" collapsed="false">
      <c r="A12" s="9" t="n">
        <v>2013</v>
      </c>
      <c r="B12" s="9" t="n">
        <v>1</v>
      </c>
      <c r="C12" s="9" t="s">
        <v>52</v>
      </c>
      <c r="D12" s="9" t="s">
        <v>53</v>
      </c>
      <c r="E12" s="9" t="n">
        <v>9</v>
      </c>
      <c r="F12" s="9" t="n">
        <v>4</v>
      </c>
      <c r="G12" s="10" t="n">
        <v>1636</v>
      </c>
      <c r="H12" s="23" t="s">
        <v>51</v>
      </c>
      <c r="I12" s="10" t="n">
        <v>1455</v>
      </c>
      <c r="J12" s="12" t="n">
        <f aca="false">G12-I12</f>
        <v>181</v>
      </c>
      <c r="K12" s="13" t="n">
        <f aca="false">G12^2.37/(G12^2.37+I12^2.37)</f>
        <v>0.569026048111689</v>
      </c>
      <c r="L12" s="14" t="n">
        <f aca="false">(E12/(E12+F12))-K12</f>
        <v>0.123281644196003</v>
      </c>
      <c r="M12" s="15" t="n">
        <f aca="false">IF(B12=_xlfn.MAXIFS($B$2:$B$163,$A$2:$A$163,A12),1,0)</f>
        <v>0</v>
      </c>
    </row>
    <row r="13" customFormat="false" ht="15" hidden="false" customHeight="false" outlineLevel="0" collapsed="false">
      <c r="A13" s="16" t="n">
        <v>2013</v>
      </c>
      <c r="B13" s="16" t="n">
        <v>2</v>
      </c>
      <c r="C13" s="16" t="s">
        <v>61</v>
      </c>
      <c r="D13" s="16" t="s">
        <v>62</v>
      </c>
      <c r="E13" s="16" t="n">
        <v>8</v>
      </c>
      <c r="F13" s="16" t="n">
        <v>5</v>
      </c>
      <c r="G13" s="17" t="n">
        <v>1821</v>
      </c>
      <c r="H13" s="22" t="s">
        <v>48</v>
      </c>
      <c r="I13" s="17" t="n">
        <v>1496</v>
      </c>
      <c r="J13" s="19" t="n">
        <f aca="false">G13-I13</f>
        <v>325</v>
      </c>
      <c r="K13" s="20" t="n">
        <f aca="false">G13^2.37/(G13^2.37+I13^2.37)</f>
        <v>0.614417736106955</v>
      </c>
      <c r="L13" s="21" t="n">
        <f aca="false">(E13/(E13+F13))-K13</f>
        <v>0.000966879277660038</v>
      </c>
      <c r="M13" s="15" t="n">
        <f aca="false">IF(B13=_xlfn.MAXIFS($B$2:$B$163,$A$2:$A$163,A13),1,0)</f>
        <v>0</v>
      </c>
    </row>
    <row r="14" customFormat="false" ht="15" hidden="false" customHeight="false" outlineLevel="0" collapsed="false">
      <c r="A14" s="9" t="n">
        <v>2013</v>
      </c>
      <c r="B14" s="9" t="n">
        <v>3</v>
      </c>
      <c r="C14" s="9" t="s">
        <v>55</v>
      </c>
      <c r="D14" s="9" t="s">
        <v>56</v>
      </c>
      <c r="E14" s="9" t="n">
        <v>8</v>
      </c>
      <c r="F14" s="9" t="n">
        <v>5</v>
      </c>
      <c r="G14" s="10" t="n">
        <v>1608</v>
      </c>
      <c r="H14" s="11" t="s">
        <v>42</v>
      </c>
      <c r="I14" s="10" t="n">
        <v>1567</v>
      </c>
      <c r="J14" s="12" t="n">
        <f aca="false">G14-I14</f>
        <v>41</v>
      </c>
      <c r="K14" s="13" t="n">
        <f aca="false">G14^2.37/(G14^2.37+I14^2.37)</f>
        <v>0.515298436219135</v>
      </c>
      <c r="L14" s="14" t="n">
        <f aca="false">(E14/(E14+F14))-K14</f>
        <v>0.10008617916548</v>
      </c>
      <c r="M14" s="15" t="n">
        <f aca="false">IF(B14=_xlfn.MAXIFS($B$2:$B$163,$A$2:$A$163,A14),1,0)</f>
        <v>0</v>
      </c>
    </row>
    <row r="15" customFormat="false" ht="15" hidden="false" customHeight="false" outlineLevel="0" collapsed="false">
      <c r="A15" s="16" t="n">
        <v>2013</v>
      </c>
      <c r="B15" s="16" t="n">
        <v>4</v>
      </c>
      <c r="C15" s="16" t="s">
        <v>63</v>
      </c>
      <c r="D15" s="16" t="s">
        <v>64</v>
      </c>
      <c r="E15" s="16" t="n">
        <v>8</v>
      </c>
      <c r="F15" s="16" t="n">
        <v>5</v>
      </c>
      <c r="G15" s="17" t="n">
        <v>1587</v>
      </c>
      <c r="H15" s="18" t="s">
        <v>45</v>
      </c>
      <c r="I15" s="17" t="n">
        <v>1428</v>
      </c>
      <c r="J15" s="19" t="n">
        <f aca="false">G15-I15</f>
        <v>159</v>
      </c>
      <c r="K15" s="20" t="n">
        <f aca="false">G15^2.37/(G15^2.37+I15^2.37)</f>
        <v>0.562226285548319</v>
      </c>
      <c r="L15" s="21" t="n">
        <f aca="false">(E15/(E15+F15))-K15</f>
        <v>0.0531583298362965</v>
      </c>
      <c r="M15" s="15" t="n">
        <f aca="false">IF(B15=_xlfn.MAXIFS($B$2:$B$163,$A$2:$A$163,A15),1,0)</f>
        <v>0</v>
      </c>
    </row>
    <row r="16" customFormat="false" ht="15" hidden="false" customHeight="false" outlineLevel="0" collapsed="false">
      <c r="A16" s="9" t="n">
        <v>2013</v>
      </c>
      <c r="B16" s="9" t="n">
        <v>5</v>
      </c>
      <c r="C16" s="9" t="s">
        <v>40</v>
      </c>
      <c r="D16" s="9" t="s">
        <v>41</v>
      </c>
      <c r="E16" s="9" t="n">
        <v>7</v>
      </c>
      <c r="F16" s="9" t="n">
        <v>6</v>
      </c>
      <c r="G16" s="10" t="n">
        <v>1615</v>
      </c>
      <c r="H16" s="24" t="s">
        <v>54</v>
      </c>
      <c r="I16" s="10" t="n">
        <v>1508</v>
      </c>
      <c r="J16" s="12" t="n">
        <f aca="false">G16-I16</f>
        <v>107</v>
      </c>
      <c r="K16" s="13" t="n">
        <f aca="false">G16^2.37/(G16^2.37+I16^2.37)</f>
        <v>0.540527178661112</v>
      </c>
      <c r="L16" s="14" t="n">
        <f aca="false">(E16/(E16+F16))-K16</f>
        <v>-0.00206564019957389</v>
      </c>
      <c r="M16" s="15" t="n">
        <f aca="false">IF(B16=_xlfn.MAXIFS($B$2:$B$163,$A$2:$A$163,A16),1,0)</f>
        <v>0</v>
      </c>
    </row>
    <row r="17" customFormat="false" ht="15" hidden="false" customHeight="false" outlineLevel="0" collapsed="false">
      <c r="A17" s="16" t="n">
        <v>2013</v>
      </c>
      <c r="B17" s="16" t="n">
        <v>6</v>
      </c>
      <c r="C17" s="16" t="s">
        <v>49</v>
      </c>
      <c r="D17" s="16" t="s">
        <v>50</v>
      </c>
      <c r="E17" s="16" t="n">
        <v>6</v>
      </c>
      <c r="F17" s="16" t="n">
        <v>7</v>
      </c>
      <c r="G17" s="17" t="n">
        <v>1485</v>
      </c>
      <c r="H17" s="24" t="s">
        <v>54</v>
      </c>
      <c r="I17" s="17" t="n">
        <v>1586</v>
      </c>
      <c r="J17" s="19" t="n">
        <f aca="false">G17-I17</f>
        <v>-101</v>
      </c>
      <c r="K17" s="20" t="n">
        <f aca="false">G17^2.37/(G17^2.37+I17^2.37)</f>
        <v>0.46109211153726</v>
      </c>
      <c r="L17" s="21" t="n">
        <f aca="false">(E17/(E17+F17))-K17</f>
        <v>0.000446350001201856</v>
      </c>
      <c r="M17" s="15" t="n">
        <f aca="false">IF(B17=_xlfn.MAXIFS($B$2:$B$163,$A$2:$A$163,A17),1,0)</f>
        <v>0</v>
      </c>
    </row>
    <row r="18" customFormat="false" ht="15" hidden="false" customHeight="false" outlineLevel="0" collapsed="false">
      <c r="A18" s="9" t="n">
        <v>2013</v>
      </c>
      <c r="B18" s="9" t="n">
        <v>7</v>
      </c>
      <c r="C18" s="9" t="s">
        <v>59</v>
      </c>
      <c r="D18" s="9" t="s">
        <v>60</v>
      </c>
      <c r="E18" s="9" t="n">
        <v>6</v>
      </c>
      <c r="F18" s="9" t="n">
        <v>7</v>
      </c>
      <c r="G18" s="10" t="n">
        <v>1434</v>
      </c>
      <c r="H18" s="24" t="s">
        <v>54</v>
      </c>
      <c r="I18" s="10" t="n">
        <v>1627</v>
      </c>
      <c r="J18" s="12" t="n">
        <f aca="false">G18-I18</f>
        <v>-193</v>
      </c>
      <c r="K18" s="13" t="n">
        <f aca="false">G18^2.37/(G18^2.37+I18^2.37)</f>
        <v>0.425738366879646</v>
      </c>
      <c r="L18" s="14" t="n">
        <f aca="false">(E18/(E18+F18))-K18</f>
        <v>0.0358000946588158</v>
      </c>
      <c r="M18" s="15" t="n">
        <f aca="false">IF(B18=_xlfn.MAXIFS($B$2:$B$163,$A$2:$A$163,A18),1,0)</f>
        <v>0</v>
      </c>
    </row>
    <row r="19" customFormat="false" ht="15" hidden="false" customHeight="false" outlineLevel="0" collapsed="false">
      <c r="A19" s="16" t="n">
        <v>2013</v>
      </c>
      <c r="B19" s="16" t="n">
        <v>8</v>
      </c>
      <c r="C19" s="16" t="s">
        <v>46</v>
      </c>
      <c r="D19" s="16" t="s">
        <v>47</v>
      </c>
      <c r="E19" s="16" t="n">
        <v>5</v>
      </c>
      <c r="F19" s="16" t="n">
        <v>8</v>
      </c>
      <c r="G19" s="17" t="n">
        <v>1610</v>
      </c>
      <c r="H19" s="24" t="s">
        <v>54</v>
      </c>
      <c r="I19" s="17" t="n">
        <v>1625</v>
      </c>
      <c r="J19" s="19" t="n">
        <f aca="false">G19-I19</f>
        <v>-15</v>
      </c>
      <c r="K19" s="20" t="n">
        <f aca="false">G19^2.37/(G19^2.37+I19^2.37)</f>
        <v>0.494505591378181</v>
      </c>
      <c r="L19" s="21" t="n">
        <f aca="false">(E19/(E19+F19))-K19</f>
        <v>-0.109890206762797</v>
      </c>
      <c r="M19" s="15" t="n">
        <f aca="false">IF(B19=_xlfn.MAXIFS($B$2:$B$163,$A$2:$A$163,A19),1,0)</f>
        <v>0</v>
      </c>
    </row>
    <row r="20" customFormat="false" ht="15" hidden="false" customHeight="false" outlineLevel="0" collapsed="false">
      <c r="A20" s="9" t="n">
        <v>2013</v>
      </c>
      <c r="B20" s="9" t="n">
        <v>9</v>
      </c>
      <c r="C20" s="9" t="s">
        <v>43</v>
      </c>
      <c r="D20" s="9" t="s">
        <v>44</v>
      </c>
      <c r="E20" s="9" t="n">
        <v>5</v>
      </c>
      <c r="F20" s="9" t="n">
        <v>8</v>
      </c>
      <c r="G20" s="10" t="n">
        <v>1469</v>
      </c>
      <c r="H20" s="24" t="s">
        <v>54</v>
      </c>
      <c r="I20" s="10" t="n">
        <v>1724</v>
      </c>
      <c r="J20" s="12" t="n">
        <f aca="false">G20-I20</f>
        <v>-255</v>
      </c>
      <c r="K20" s="13" t="n">
        <f aca="false">G20^2.37/(G20^2.37+I20^2.37)</f>
        <v>0.406282544551961</v>
      </c>
      <c r="L20" s="14" t="n">
        <f aca="false">(E20/(E20+F20))-K20</f>
        <v>-0.0216671599365763</v>
      </c>
      <c r="M20" s="15" t="n">
        <f aca="false">IF(B20=_xlfn.MAXIFS($B$2:$B$163,$A$2:$A$163,A20),1,0)</f>
        <v>0</v>
      </c>
    </row>
    <row r="21" customFormat="false" ht="15" hidden="false" customHeight="false" outlineLevel="0" collapsed="false">
      <c r="A21" s="16" t="n">
        <v>2013</v>
      </c>
      <c r="B21" s="16" t="n">
        <v>10</v>
      </c>
      <c r="C21" s="16" t="s">
        <v>57</v>
      </c>
      <c r="D21" s="16" t="s">
        <v>58</v>
      </c>
      <c r="E21" s="16" t="n">
        <v>3</v>
      </c>
      <c r="F21" s="16" t="n">
        <v>10</v>
      </c>
      <c r="G21" s="17" t="n">
        <v>1265</v>
      </c>
      <c r="H21" s="24" t="s">
        <v>54</v>
      </c>
      <c r="I21" s="17" t="n">
        <v>1514</v>
      </c>
      <c r="J21" s="19" t="n">
        <f aca="false">G21-I21</f>
        <v>-249</v>
      </c>
      <c r="K21" s="20" t="n">
        <f aca="false">G21^2.37/(G21^2.37+I21^2.37)</f>
        <v>0.395118037140216</v>
      </c>
      <c r="L21" s="21" t="n">
        <f aca="false">(E21/(E21+F21))-K21</f>
        <v>-0.164348806370986</v>
      </c>
      <c r="M21" s="15" t="n">
        <f aca="false">IF(B21=_xlfn.MAXIFS($B$2:$B$163,$A$2:$A$163,A21),1,0)</f>
        <v>1</v>
      </c>
    </row>
    <row r="22" customFormat="false" ht="15" hidden="false" customHeight="false" outlineLevel="0" collapsed="false">
      <c r="A22" s="9" t="n">
        <v>2014</v>
      </c>
      <c r="B22" s="9" t="n">
        <v>1</v>
      </c>
      <c r="C22" s="9" t="s">
        <v>49</v>
      </c>
      <c r="D22" s="9" t="s">
        <v>50</v>
      </c>
      <c r="E22" s="9" t="n">
        <v>10</v>
      </c>
      <c r="F22" s="9" t="n">
        <v>3</v>
      </c>
      <c r="G22" s="10" t="n">
        <v>1749</v>
      </c>
      <c r="H22" s="23" t="s">
        <v>51</v>
      </c>
      <c r="I22" s="10" t="n">
        <v>1516</v>
      </c>
      <c r="J22" s="12" t="n">
        <f aca="false">G22-I22</f>
        <v>233</v>
      </c>
      <c r="K22" s="13" t="n">
        <f aca="false">G22^2.37/(G22^2.37+I22^2.37)</f>
        <v>0.583907822002863</v>
      </c>
      <c r="L22" s="14" t="n">
        <f aca="false">(E22/(E22+F22))-K22</f>
        <v>0.185322947227906</v>
      </c>
      <c r="M22" s="15" t="n">
        <f aca="false">IF(B22=_xlfn.MAXIFS($B$2:$B$163,$A$2:$A$163,A22),1,0)</f>
        <v>0</v>
      </c>
    </row>
    <row r="23" customFormat="false" ht="15" hidden="false" customHeight="false" outlineLevel="0" collapsed="false">
      <c r="A23" s="16" t="n">
        <v>2014</v>
      </c>
      <c r="B23" s="16" t="n">
        <v>2</v>
      </c>
      <c r="C23" s="16" t="s">
        <v>63</v>
      </c>
      <c r="D23" s="16" t="s">
        <v>64</v>
      </c>
      <c r="E23" s="16" t="n">
        <v>8</v>
      </c>
      <c r="F23" s="16" t="n">
        <v>5</v>
      </c>
      <c r="G23" s="17" t="n">
        <v>1685</v>
      </c>
      <c r="H23" s="18" t="s">
        <v>45</v>
      </c>
      <c r="I23" s="17" t="n">
        <v>1465</v>
      </c>
      <c r="J23" s="19" t="n">
        <f aca="false">G23-I23</f>
        <v>220</v>
      </c>
      <c r="K23" s="20" t="n">
        <f aca="false">G23^2.37/(G23^2.37+I23^2.37)</f>
        <v>0.582145580487823</v>
      </c>
      <c r="L23" s="21" t="n">
        <f aca="false">(E23/(E23+F23))-K23</f>
        <v>0.0332390348967929</v>
      </c>
      <c r="M23" s="15" t="n">
        <f aca="false">IF(B23=_xlfn.MAXIFS($B$2:$B$163,$A$2:$A$163,A23),1,0)</f>
        <v>0</v>
      </c>
    </row>
    <row r="24" customFormat="false" ht="15" hidden="false" customHeight="false" outlineLevel="0" collapsed="false">
      <c r="A24" s="9" t="n">
        <v>2014</v>
      </c>
      <c r="B24" s="9" t="n">
        <v>3</v>
      </c>
      <c r="C24" s="9" t="s">
        <v>61</v>
      </c>
      <c r="D24" s="9" t="s">
        <v>62</v>
      </c>
      <c r="E24" s="9" t="n">
        <v>8</v>
      </c>
      <c r="F24" s="9" t="n">
        <v>5</v>
      </c>
      <c r="G24" s="10" t="n">
        <v>1673</v>
      </c>
      <c r="H24" s="22" t="s">
        <v>48</v>
      </c>
      <c r="I24" s="10" t="n">
        <v>1538</v>
      </c>
      <c r="J24" s="12" t="n">
        <f aca="false">G24-I24</f>
        <v>135</v>
      </c>
      <c r="K24" s="13" t="n">
        <f aca="false">G24^2.37/(G24^2.37+I24^2.37)</f>
        <v>0.54968579375364</v>
      </c>
      <c r="L24" s="14" t="n">
        <f aca="false">(E24/(E24+F24))-K24</f>
        <v>0.0656988216309753</v>
      </c>
      <c r="M24" s="15" t="n">
        <f aca="false">IF(B24=_xlfn.MAXIFS($B$2:$B$163,$A$2:$A$163,A24),1,0)</f>
        <v>0</v>
      </c>
    </row>
    <row r="25" customFormat="false" ht="15" hidden="false" customHeight="false" outlineLevel="0" collapsed="false">
      <c r="A25" s="16" t="n">
        <v>2014</v>
      </c>
      <c r="B25" s="16" t="n">
        <v>4</v>
      </c>
      <c r="C25" s="16" t="s">
        <v>52</v>
      </c>
      <c r="D25" s="16" t="s">
        <v>53</v>
      </c>
      <c r="E25" s="16" t="n">
        <v>8</v>
      </c>
      <c r="F25" s="16" t="n">
        <v>5</v>
      </c>
      <c r="G25" s="17" t="n">
        <v>1508</v>
      </c>
      <c r="H25" s="11" t="s">
        <v>42</v>
      </c>
      <c r="I25" s="17" t="n">
        <v>1426</v>
      </c>
      <c r="J25" s="19" t="n">
        <f aca="false">G25-I25</f>
        <v>82</v>
      </c>
      <c r="K25" s="20" t="n">
        <f aca="false">G25^2.37/(G25^2.37+I25^2.37)</f>
        <v>0.533078849027424</v>
      </c>
      <c r="L25" s="21" t="n">
        <f aca="false">(E25/(E25+F25))-K25</f>
        <v>0.0823057663571911</v>
      </c>
      <c r="M25" s="15" t="n">
        <f aca="false">IF(B25=_xlfn.MAXIFS($B$2:$B$163,$A$2:$A$163,A25),1,0)</f>
        <v>0</v>
      </c>
    </row>
    <row r="26" customFormat="false" ht="15" hidden="false" customHeight="false" outlineLevel="0" collapsed="false">
      <c r="A26" s="9" t="n">
        <v>2014</v>
      </c>
      <c r="B26" s="9" t="n">
        <v>5</v>
      </c>
      <c r="C26" s="9" t="s">
        <v>46</v>
      </c>
      <c r="D26" s="9" t="s">
        <v>47</v>
      </c>
      <c r="E26" s="9" t="n">
        <v>6</v>
      </c>
      <c r="F26" s="9" t="n">
        <v>7</v>
      </c>
      <c r="G26" s="10" t="n">
        <v>1530</v>
      </c>
      <c r="H26" s="24" t="s">
        <v>54</v>
      </c>
      <c r="I26" s="10" t="n">
        <v>1568</v>
      </c>
      <c r="J26" s="12" t="n">
        <f aca="false">G26-I26</f>
        <v>-38</v>
      </c>
      <c r="K26" s="13" t="n">
        <f aca="false">G26^2.37/(G26^2.37+I26^2.37)</f>
        <v>0.485468180711698</v>
      </c>
      <c r="L26" s="14" t="n">
        <f aca="false">(E26/(E26+F26))-K26</f>
        <v>-0.0239297191732362</v>
      </c>
      <c r="M26" s="15" t="n">
        <f aca="false">IF(B26=_xlfn.MAXIFS($B$2:$B$163,$A$2:$A$163,A26),1,0)</f>
        <v>0</v>
      </c>
    </row>
    <row r="27" customFormat="false" ht="15" hidden="false" customHeight="false" outlineLevel="0" collapsed="false">
      <c r="A27" s="16" t="n">
        <v>2014</v>
      </c>
      <c r="B27" s="16" t="n">
        <v>6</v>
      </c>
      <c r="C27" s="16" t="s">
        <v>55</v>
      </c>
      <c r="D27" s="16" t="s">
        <v>56</v>
      </c>
      <c r="E27" s="16" t="n">
        <v>6</v>
      </c>
      <c r="F27" s="16" t="n">
        <v>7</v>
      </c>
      <c r="G27" s="17" t="n">
        <v>1481</v>
      </c>
      <c r="H27" s="24" t="s">
        <v>54</v>
      </c>
      <c r="I27" s="17" t="n">
        <v>1585</v>
      </c>
      <c r="J27" s="19" t="n">
        <f aca="false">G27-I27</f>
        <v>-104</v>
      </c>
      <c r="K27" s="20" t="n">
        <f aca="false">G27^2.37/(G27^2.37+I27^2.37)</f>
        <v>0.45987534627649</v>
      </c>
      <c r="L27" s="21" t="n">
        <f aca="false">(E27/(E27+F27))-K27</f>
        <v>0.00166311526197177</v>
      </c>
      <c r="M27" s="15" t="n">
        <f aca="false">IF(B27=_xlfn.MAXIFS($B$2:$B$163,$A$2:$A$163,A27),1,0)</f>
        <v>0</v>
      </c>
    </row>
    <row r="28" customFormat="false" ht="15" hidden="false" customHeight="false" outlineLevel="0" collapsed="false">
      <c r="A28" s="9" t="n">
        <v>2014</v>
      </c>
      <c r="B28" s="9" t="n">
        <v>7</v>
      </c>
      <c r="C28" s="9" t="s">
        <v>43</v>
      </c>
      <c r="D28" s="9" t="s">
        <v>44</v>
      </c>
      <c r="E28" s="9" t="n">
        <v>6</v>
      </c>
      <c r="F28" s="9" t="n">
        <v>7</v>
      </c>
      <c r="G28" s="10" t="n">
        <v>1294</v>
      </c>
      <c r="H28" s="24" t="s">
        <v>54</v>
      </c>
      <c r="I28" s="10" t="n">
        <v>1512</v>
      </c>
      <c r="J28" s="12" t="n">
        <f aca="false">G28-I28</f>
        <v>-218</v>
      </c>
      <c r="K28" s="13" t="n">
        <f aca="false">G28^2.37/(G28^2.37+I28^2.37)</f>
        <v>0.408783320906624</v>
      </c>
      <c r="L28" s="14" t="n">
        <f aca="false">(E28/(E28+F28))-K28</f>
        <v>0.0527551406318377</v>
      </c>
      <c r="M28" s="15" t="n">
        <f aca="false">IF(B28=_xlfn.MAXIFS($B$2:$B$163,$A$2:$A$163,A28),1,0)</f>
        <v>0</v>
      </c>
    </row>
    <row r="29" customFormat="false" ht="15" hidden="false" customHeight="false" outlineLevel="0" collapsed="false">
      <c r="A29" s="16" t="n">
        <v>2014</v>
      </c>
      <c r="B29" s="16" t="n">
        <v>8</v>
      </c>
      <c r="C29" s="16" t="s">
        <v>40</v>
      </c>
      <c r="D29" s="16" t="s">
        <v>41</v>
      </c>
      <c r="E29" s="16" t="n">
        <v>5</v>
      </c>
      <c r="F29" s="16" t="n">
        <v>8</v>
      </c>
      <c r="G29" s="17" t="n">
        <v>1586</v>
      </c>
      <c r="H29" s="24" t="s">
        <v>54</v>
      </c>
      <c r="I29" s="17" t="n">
        <v>1698</v>
      </c>
      <c r="J29" s="19" t="n">
        <f aca="false">G29-I29</f>
        <v>-112</v>
      </c>
      <c r="K29" s="20" t="n">
        <f aca="false">G29^2.37/(G29^2.37+I29^2.37)</f>
        <v>0.459658074867474</v>
      </c>
      <c r="L29" s="21" t="n">
        <f aca="false">(E29/(E29+F29))-K29</f>
        <v>-0.0750426902520897</v>
      </c>
      <c r="M29" s="15" t="n">
        <f aca="false">IF(B29=_xlfn.MAXIFS($B$2:$B$163,$A$2:$A$163,A29),1,0)</f>
        <v>0</v>
      </c>
    </row>
    <row r="30" customFormat="false" ht="15" hidden="false" customHeight="false" outlineLevel="0" collapsed="false">
      <c r="A30" s="9" t="n">
        <v>2014</v>
      </c>
      <c r="B30" s="9" t="n">
        <v>9</v>
      </c>
      <c r="C30" s="9" t="s">
        <v>59</v>
      </c>
      <c r="D30" s="9" t="s">
        <v>60</v>
      </c>
      <c r="E30" s="9" t="n">
        <v>4</v>
      </c>
      <c r="F30" s="9" t="n">
        <v>9</v>
      </c>
      <c r="G30" s="10" t="n">
        <v>1436</v>
      </c>
      <c r="H30" s="24" t="s">
        <v>54</v>
      </c>
      <c r="I30" s="10" t="n">
        <v>1568</v>
      </c>
      <c r="J30" s="12" t="n">
        <f aca="false">G30-I30</f>
        <v>-132</v>
      </c>
      <c r="K30" s="13" t="n">
        <f aca="false">G30^2.37/(G30^2.37+I30^2.37)</f>
        <v>0.448083665238251</v>
      </c>
      <c r="L30" s="14" t="n">
        <f aca="false">(E30/(E30+F30))-K30</f>
        <v>-0.140391357545943</v>
      </c>
      <c r="M30" s="15" t="n">
        <f aca="false">IF(B30=_xlfn.MAXIFS($B$2:$B$163,$A$2:$A$163,A30),1,0)</f>
        <v>0</v>
      </c>
    </row>
    <row r="31" customFormat="false" ht="15" hidden="false" customHeight="false" outlineLevel="0" collapsed="false">
      <c r="A31" s="16" t="n">
        <v>2014</v>
      </c>
      <c r="B31" s="16" t="n">
        <v>10</v>
      </c>
      <c r="C31" s="16" t="s">
        <v>57</v>
      </c>
      <c r="D31" s="16" t="s">
        <v>58</v>
      </c>
      <c r="E31" s="16" t="n">
        <v>4</v>
      </c>
      <c r="F31" s="16" t="n">
        <v>9</v>
      </c>
      <c r="G31" s="17" t="n">
        <v>1386</v>
      </c>
      <c r="H31" s="24" t="s">
        <v>54</v>
      </c>
      <c r="I31" s="17" t="n">
        <v>1455</v>
      </c>
      <c r="J31" s="19" t="n">
        <f aca="false">G31-I31</f>
        <v>-69</v>
      </c>
      <c r="K31" s="20" t="n">
        <f aca="false">G31^2.37/(G31^2.37+I31^2.37)</f>
        <v>0.47124574211148</v>
      </c>
      <c r="L31" s="21" t="n">
        <f aca="false">(E31/(E31+F31))-K31</f>
        <v>-0.163553434419172</v>
      </c>
      <c r="M31" s="15" t="n">
        <f aca="false">IF(B31=_xlfn.MAXIFS($B$2:$B$163,$A$2:$A$163,A31),1,0)</f>
        <v>1</v>
      </c>
    </row>
    <row r="32" customFormat="false" ht="15" hidden="false" customHeight="false" outlineLevel="0" collapsed="false">
      <c r="A32" s="9" t="n">
        <v>2015</v>
      </c>
      <c r="B32" s="9" t="n">
        <v>1</v>
      </c>
      <c r="C32" s="9" t="s">
        <v>52</v>
      </c>
      <c r="D32" s="9" t="s">
        <v>53</v>
      </c>
      <c r="E32" s="9" t="n">
        <v>9</v>
      </c>
      <c r="F32" s="9" t="n">
        <v>4</v>
      </c>
      <c r="G32" s="10" t="n">
        <v>1486</v>
      </c>
      <c r="H32" s="11" t="s">
        <v>42</v>
      </c>
      <c r="I32" s="10" t="n">
        <v>1427</v>
      </c>
      <c r="J32" s="12" t="n">
        <f aca="false">G32-I32</f>
        <v>59</v>
      </c>
      <c r="K32" s="13" t="n">
        <f aca="false">G32^2.37/(G32^2.37+I32^2.37)</f>
        <v>0.5239858876703</v>
      </c>
      <c r="L32" s="14" t="n">
        <f aca="false">(E32/(E32+F32))-K32</f>
        <v>0.168321804637393</v>
      </c>
      <c r="M32" s="15" t="n">
        <f aca="false">IF(B32=_xlfn.MAXIFS($B$2:$B$163,$A$2:$A$163,A32),1,0)</f>
        <v>0</v>
      </c>
    </row>
    <row r="33" customFormat="false" ht="15" hidden="false" customHeight="false" outlineLevel="0" collapsed="false">
      <c r="A33" s="16" t="n">
        <v>2015</v>
      </c>
      <c r="B33" s="16" t="n">
        <v>2</v>
      </c>
      <c r="C33" s="16" t="s">
        <v>65</v>
      </c>
      <c r="D33" s="16" t="s">
        <v>66</v>
      </c>
      <c r="E33" s="16" t="n">
        <v>9</v>
      </c>
      <c r="F33" s="16" t="n">
        <v>4</v>
      </c>
      <c r="G33" s="17" t="n">
        <v>1429</v>
      </c>
      <c r="H33" s="18" t="s">
        <v>45</v>
      </c>
      <c r="I33" s="17" t="n">
        <v>1390</v>
      </c>
      <c r="J33" s="19" t="n">
        <f aca="false">G33-I33</f>
        <v>39</v>
      </c>
      <c r="K33" s="20" t="n">
        <f aca="false">G33^2.37/(G33^2.37+I33^2.37)</f>
        <v>0.516389283920233</v>
      </c>
      <c r="L33" s="21" t="n">
        <f aca="false">(E33/(E33+F33))-K33</f>
        <v>0.175918408387459</v>
      </c>
      <c r="M33" s="15" t="n">
        <f aca="false">IF(B33=_xlfn.MAXIFS($B$2:$B$163,$A$2:$A$163,A33),1,0)</f>
        <v>0</v>
      </c>
    </row>
    <row r="34" customFormat="false" ht="15" hidden="false" customHeight="false" outlineLevel="0" collapsed="false">
      <c r="A34" s="9" t="n">
        <v>2015</v>
      </c>
      <c r="B34" s="9" t="n">
        <v>3</v>
      </c>
      <c r="C34" s="9" t="s">
        <v>40</v>
      </c>
      <c r="D34" s="9" t="s">
        <v>41</v>
      </c>
      <c r="E34" s="9" t="n">
        <v>8</v>
      </c>
      <c r="F34" s="9" t="n">
        <v>5</v>
      </c>
      <c r="G34" s="10" t="n">
        <v>1645</v>
      </c>
      <c r="H34" s="22" t="s">
        <v>48</v>
      </c>
      <c r="I34" s="10" t="n">
        <v>1558</v>
      </c>
      <c r="J34" s="12" t="n">
        <f aca="false">G34-I34</f>
        <v>87</v>
      </c>
      <c r="K34" s="13" t="n">
        <f aca="false">G34^2.37/(G34^2.37+I34^2.37)</f>
        <v>0.532150510972802</v>
      </c>
      <c r="L34" s="14" t="n">
        <f aca="false">(E34/(E34+F34))-K34</f>
        <v>0.0832341044118135</v>
      </c>
      <c r="M34" s="15" t="n">
        <f aca="false">IF(B34=_xlfn.MAXIFS($B$2:$B$163,$A$2:$A$163,A34),1,0)</f>
        <v>0</v>
      </c>
    </row>
    <row r="35" customFormat="false" ht="15" hidden="false" customHeight="false" outlineLevel="0" collapsed="false">
      <c r="A35" s="16" t="n">
        <v>2015</v>
      </c>
      <c r="B35" s="16" t="n">
        <v>4</v>
      </c>
      <c r="C35" s="16" t="s">
        <v>61</v>
      </c>
      <c r="D35" s="16" t="s">
        <v>62</v>
      </c>
      <c r="E35" s="16" t="n">
        <v>8</v>
      </c>
      <c r="F35" s="16" t="n">
        <v>5</v>
      </c>
      <c r="G35" s="17" t="n">
        <v>1608</v>
      </c>
      <c r="H35" s="23" t="s">
        <v>51</v>
      </c>
      <c r="I35" s="17" t="n">
        <v>1573</v>
      </c>
      <c r="J35" s="19" t="n">
        <f aca="false">G35-I35</f>
        <v>35</v>
      </c>
      <c r="K35" s="20" t="n">
        <f aca="false">G35^2.37/(G35^2.37+I35^2.37)</f>
        <v>0.513035924017906</v>
      </c>
      <c r="L35" s="21" t="n">
        <f aca="false">(E35/(E35+F35))-K35</f>
        <v>0.102348691366709</v>
      </c>
      <c r="M35" s="15" t="n">
        <f aca="false">IF(B35=_xlfn.MAXIFS($B$2:$B$163,$A$2:$A$163,A35),1,0)</f>
        <v>0</v>
      </c>
    </row>
    <row r="36" customFormat="false" ht="15" hidden="false" customHeight="false" outlineLevel="0" collapsed="false">
      <c r="A36" s="9" t="n">
        <v>2015</v>
      </c>
      <c r="B36" s="9" t="n">
        <v>5</v>
      </c>
      <c r="C36" s="9" t="s">
        <v>55</v>
      </c>
      <c r="D36" s="9" t="s">
        <v>56</v>
      </c>
      <c r="E36" s="9" t="n">
        <v>8</v>
      </c>
      <c r="F36" s="9" t="n">
        <v>5</v>
      </c>
      <c r="G36" s="10" t="n">
        <v>1491</v>
      </c>
      <c r="H36" s="25" t="s">
        <v>67</v>
      </c>
      <c r="I36" s="10" t="n">
        <v>1322</v>
      </c>
      <c r="J36" s="12" t="n">
        <f aca="false">G36-I36</f>
        <v>169</v>
      </c>
      <c r="K36" s="13" t="n">
        <f aca="false">G36^2.37/(G36^2.37+I36^2.37)</f>
        <v>0.570799557251614</v>
      </c>
      <c r="L36" s="14" t="n">
        <f aca="false">(E36/(E36+F36))-K36</f>
        <v>0.0445850581330011</v>
      </c>
      <c r="M36" s="15" t="n">
        <f aca="false">IF(B36=_xlfn.MAXIFS($B$2:$B$163,$A$2:$A$163,A36),1,0)</f>
        <v>0</v>
      </c>
    </row>
    <row r="37" customFormat="false" ht="15" hidden="false" customHeight="false" outlineLevel="0" collapsed="false">
      <c r="A37" s="16" t="n">
        <v>2015</v>
      </c>
      <c r="B37" s="16" t="n">
        <v>6</v>
      </c>
      <c r="C37" s="16" t="s">
        <v>68</v>
      </c>
      <c r="D37" s="16" t="s">
        <v>69</v>
      </c>
      <c r="E37" s="16" t="n">
        <v>8</v>
      </c>
      <c r="F37" s="16" t="n">
        <v>5</v>
      </c>
      <c r="G37" s="17" t="n">
        <v>1485</v>
      </c>
      <c r="H37" s="25" t="s">
        <v>67</v>
      </c>
      <c r="I37" s="17" t="n">
        <v>1460</v>
      </c>
      <c r="J37" s="19" t="n">
        <f aca="false">G37-I37</f>
        <v>25</v>
      </c>
      <c r="K37" s="20" t="n">
        <f aca="false">G37^2.37/(G37^2.37+I37^2.37)</f>
        <v>0.510058307274612</v>
      </c>
      <c r="L37" s="21" t="n">
        <f aca="false">(E37/(E37+F37))-K37</f>
        <v>0.105326308110004</v>
      </c>
      <c r="M37" s="15" t="n">
        <f aca="false">IF(B37=_xlfn.MAXIFS($B$2:$B$163,$A$2:$A$163,A37),1,0)</f>
        <v>0</v>
      </c>
    </row>
    <row r="38" customFormat="false" ht="15" hidden="false" customHeight="false" outlineLevel="0" collapsed="false">
      <c r="A38" s="9" t="n">
        <v>2015</v>
      </c>
      <c r="B38" s="9" t="n">
        <v>7</v>
      </c>
      <c r="C38" s="9" t="s">
        <v>49</v>
      </c>
      <c r="D38" s="9" t="s">
        <v>50</v>
      </c>
      <c r="E38" s="9" t="n">
        <v>6</v>
      </c>
      <c r="F38" s="9" t="n">
        <v>7</v>
      </c>
      <c r="G38" s="10" t="n">
        <v>1647</v>
      </c>
      <c r="H38" s="24" t="s">
        <v>54</v>
      </c>
      <c r="I38" s="10" t="n">
        <v>1593</v>
      </c>
      <c r="J38" s="12" t="n">
        <f aca="false">G38-I38</f>
        <v>54</v>
      </c>
      <c r="K38" s="13" t="n">
        <f aca="false">G38^2.37/(G38^2.37+I38^2.37)</f>
        <v>0.519741560918195</v>
      </c>
      <c r="L38" s="14" t="n">
        <f aca="false">(E38/(E38+F38))-K38</f>
        <v>-0.058203099379733</v>
      </c>
      <c r="M38" s="15" t="n">
        <f aca="false">IF(B38=_xlfn.MAXIFS($B$2:$B$163,$A$2:$A$163,A38),1,0)</f>
        <v>0</v>
      </c>
    </row>
    <row r="39" customFormat="false" ht="15" hidden="false" customHeight="false" outlineLevel="0" collapsed="false">
      <c r="A39" s="16" t="n">
        <v>2015</v>
      </c>
      <c r="B39" s="16" t="n">
        <v>8</v>
      </c>
      <c r="C39" s="16" t="s">
        <v>57</v>
      </c>
      <c r="D39" s="16" t="s">
        <v>58</v>
      </c>
      <c r="E39" s="16" t="n">
        <v>5</v>
      </c>
      <c r="F39" s="16" t="n">
        <v>8</v>
      </c>
      <c r="G39" s="17" t="n">
        <v>1548</v>
      </c>
      <c r="H39" s="24" t="s">
        <v>54</v>
      </c>
      <c r="I39" s="17" t="n">
        <v>1607</v>
      </c>
      <c r="J39" s="19" t="n">
        <f aca="false">G39-I39</f>
        <v>-59</v>
      </c>
      <c r="K39" s="20" t="n">
        <f aca="false">G39^2.37/(G39^2.37+I39^2.37)</f>
        <v>0.477851856038235</v>
      </c>
      <c r="L39" s="21" t="n">
        <f aca="false">(E39/(E39+F39))-K39</f>
        <v>-0.0932364714228499</v>
      </c>
      <c r="M39" s="15" t="n">
        <f aca="false">IF(B39=_xlfn.MAXIFS($B$2:$B$163,$A$2:$A$163,A39),1,0)</f>
        <v>0</v>
      </c>
    </row>
    <row r="40" customFormat="false" ht="15" hidden="false" customHeight="false" outlineLevel="0" collapsed="false">
      <c r="A40" s="9" t="n">
        <v>2015</v>
      </c>
      <c r="B40" s="9" t="n">
        <v>9</v>
      </c>
      <c r="C40" s="9" t="s">
        <v>46</v>
      </c>
      <c r="D40" s="9" t="s">
        <v>47</v>
      </c>
      <c r="E40" s="9" t="n">
        <v>5</v>
      </c>
      <c r="F40" s="9" t="n">
        <v>8</v>
      </c>
      <c r="G40" s="10" t="n">
        <v>1437</v>
      </c>
      <c r="H40" s="24" t="s">
        <v>54</v>
      </c>
      <c r="I40" s="10" t="n">
        <v>1430</v>
      </c>
      <c r="J40" s="12" t="n">
        <f aca="false">G40-I40</f>
        <v>7</v>
      </c>
      <c r="K40" s="13" t="n">
        <f aca="false">G40^2.37/(G40^2.37+I40^2.37)</f>
        <v>0.50289324168136</v>
      </c>
      <c r="L40" s="14" t="n">
        <f aca="false">(E40/(E40+F40))-K40</f>
        <v>-0.118277857065975</v>
      </c>
      <c r="M40" s="15" t="n">
        <f aca="false">IF(B40=_xlfn.MAXIFS($B$2:$B$163,$A$2:$A$163,A40),1,0)</f>
        <v>0</v>
      </c>
    </row>
    <row r="41" customFormat="false" ht="15" hidden="false" customHeight="false" outlineLevel="0" collapsed="false">
      <c r="A41" s="16" t="n">
        <v>2015</v>
      </c>
      <c r="B41" s="16" t="n">
        <v>10</v>
      </c>
      <c r="C41" s="16" t="s">
        <v>43</v>
      </c>
      <c r="D41" s="16" t="s">
        <v>44</v>
      </c>
      <c r="E41" s="16" t="n">
        <v>5</v>
      </c>
      <c r="F41" s="16" t="n">
        <v>8</v>
      </c>
      <c r="G41" s="17" t="n">
        <v>1310</v>
      </c>
      <c r="H41" s="24" t="s">
        <v>54</v>
      </c>
      <c r="I41" s="17" t="n">
        <v>1375</v>
      </c>
      <c r="J41" s="19" t="n">
        <f aca="false">G41-I41</f>
        <v>-65</v>
      </c>
      <c r="K41" s="20" t="n">
        <f aca="false">G41^2.37/(G41^2.37+I41^2.37)</f>
        <v>0.471338697690837</v>
      </c>
      <c r="L41" s="21" t="n">
        <f aca="false">(E41/(E41+F41))-K41</f>
        <v>-0.0867233130754525</v>
      </c>
      <c r="M41" s="15" t="n">
        <f aca="false">IF(B41=_xlfn.MAXIFS($B$2:$B$163,$A$2:$A$163,A41),1,0)</f>
        <v>0</v>
      </c>
    </row>
    <row r="42" customFormat="false" ht="15" hidden="false" customHeight="false" outlineLevel="0" collapsed="false">
      <c r="A42" s="9" t="n">
        <v>2015</v>
      </c>
      <c r="B42" s="9" t="n">
        <v>11</v>
      </c>
      <c r="C42" s="9" t="s">
        <v>63</v>
      </c>
      <c r="D42" s="9" t="s">
        <v>64</v>
      </c>
      <c r="E42" s="9" t="n">
        <v>4</v>
      </c>
      <c r="F42" s="9" t="n">
        <v>9</v>
      </c>
      <c r="G42" s="10" t="n">
        <v>1386</v>
      </c>
      <c r="H42" s="24" t="s">
        <v>54</v>
      </c>
      <c r="I42" s="10" t="n">
        <v>1512</v>
      </c>
      <c r="J42" s="12" t="n">
        <f aca="false">G42-I42</f>
        <v>-126</v>
      </c>
      <c r="K42" s="13" t="n">
        <f aca="false">G42^2.37/(G42^2.37+I42^2.37)</f>
        <v>0.448627682748983</v>
      </c>
      <c r="L42" s="14" t="n">
        <f aca="false">(E42/(E42+F42))-K42</f>
        <v>-0.140935375056675</v>
      </c>
      <c r="M42" s="15" t="n">
        <f aca="false">IF(B42=_xlfn.MAXIFS($B$2:$B$163,$A$2:$A$163,A42),1,0)</f>
        <v>0</v>
      </c>
    </row>
    <row r="43" customFormat="false" ht="15" hidden="false" customHeight="false" outlineLevel="0" collapsed="false">
      <c r="A43" s="16" t="n">
        <v>2015</v>
      </c>
      <c r="B43" s="16" t="n">
        <v>12</v>
      </c>
      <c r="C43" s="16" t="s">
        <v>59</v>
      </c>
      <c r="D43" s="16" t="s">
        <v>60</v>
      </c>
      <c r="E43" s="16" t="n">
        <v>3</v>
      </c>
      <c r="F43" s="16" t="n">
        <v>10</v>
      </c>
      <c r="G43" s="17" t="n">
        <v>1265</v>
      </c>
      <c r="H43" s="24" t="s">
        <v>54</v>
      </c>
      <c r="I43" s="17" t="n">
        <v>1492</v>
      </c>
      <c r="J43" s="19" t="n">
        <f aca="false">G43-I43</f>
        <v>-227</v>
      </c>
      <c r="K43" s="20" t="n">
        <f aca="false">G43^2.37/(G43^2.37+I43^2.37)</f>
        <v>0.403438675273386</v>
      </c>
      <c r="L43" s="21" t="n">
        <f aca="false">(E43/(E43+F43))-K43</f>
        <v>-0.172669444504156</v>
      </c>
      <c r="M43" s="15" t="n">
        <f aca="false">IF(B43=_xlfn.MAXIFS($B$2:$B$163,$A$2:$A$163,A43),1,0)</f>
        <v>1</v>
      </c>
    </row>
    <row r="44" customFormat="false" ht="15" hidden="false" customHeight="false" outlineLevel="0" collapsed="false">
      <c r="A44" s="9" t="n">
        <v>2016</v>
      </c>
      <c r="B44" s="9" t="n">
        <v>1</v>
      </c>
      <c r="C44" s="9" t="s">
        <v>59</v>
      </c>
      <c r="D44" s="9" t="s">
        <v>60</v>
      </c>
      <c r="E44" s="9" t="n">
        <v>10</v>
      </c>
      <c r="F44" s="9" t="n">
        <v>3</v>
      </c>
      <c r="G44" s="10" t="n">
        <v>1785.2</v>
      </c>
      <c r="H44" s="18" t="s">
        <v>45</v>
      </c>
      <c r="I44" s="10" t="n">
        <v>1473.3</v>
      </c>
      <c r="J44" s="12" t="n">
        <f aca="false">G44-I44</f>
        <v>311.9</v>
      </c>
      <c r="K44" s="13" t="n">
        <f aca="false">G44^2.37/(G44^2.37+I44^2.37)</f>
        <v>0.61185131777876</v>
      </c>
      <c r="L44" s="14" t="n">
        <f aca="false">(E44/(E44+F44))-K44</f>
        <v>0.15737945145201</v>
      </c>
      <c r="M44" s="15" t="n">
        <f aca="false">IF(B44=_xlfn.MAXIFS($B$2:$B$163,$A$2:$A$163,A44),1,0)</f>
        <v>0</v>
      </c>
    </row>
    <row r="45" customFormat="false" ht="15" hidden="false" customHeight="false" outlineLevel="0" collapsed="false">
      <c r="A45" s="16" t="n">
        <v>2016</v>
      </c>
      <c r="B45" s="16" t="n">
        <v>2</v>
      </c>
      <c r="C45" s="16" t="s">
        <v>57</v>
      </c>
      <c r="D45" s="16" t="s">
        <v>58</v>
      </c>
      <c r="E45" s="16" t="n">
        <v>8</v>
      </c>
      <c r="F45" s="16" t="n">
        <v>5</v>
      </c>
      <c r="G45" s="17" t="n">
        <v>1621.6</v>
      </c>
      <c r="H45" s="23" t="s">
        <v>51</v>
      </c>
      <c r="I45" s="17" t="n">
        <v>1381.7</v>
      </c>
      <c r="J45" s="19" t="n">
        <f aca="false">G45-I45</f>
        <v>239.9</v>
      </c>
      <c r="K45" s="20" t="n">
        <f aca="false">G45^2.37/(G45^2.37+I45^2.37)</f>
        <v>0.593736558726055</v>
      </c>
      <c r="L45" s="21" t="n">
        <f aca="false">(E45/(E45+F45))-K45</f>
        <v>0.0216480566585607</v>
      </c>
      <c r="M45" s="15" t="n">
        <f aca="false">IF(B45=_xlfn.MAXIFS($B$2:$B$163,$A$2:$A$163,A45),1,0)</f>
        <v>0</v>
      </c>
    </row>
    <row r="46" customFormat="false" ht="15" hidden="false" customHeight="false" outlineLevel="0" collapsed="false">
      <c r="A46" s="9" t="n">
        <v>2016</v>
      </c>
      <c r="B46" s="9" t="n">
        <v>3</v>
      </c>
      <c r="C46" s="9" t="s">
        <v>49</v>
      </c>
      <c r="D46" s="9" t="s">
        <v>50</v>
      </c>
      <c r="E46" s="9" t="n">
        <v>7</v>
      </c>
      <c r="F46" s="9" t="n">
        <v>6</v>
      </c>
      <c r="G46" s="10" t="n">
        <v>1689.4</v>
      </c>
      <c r="H46" s="25" t="s">
        <v>67</v>
      </c>
      <c r="I46" s="10" t="n">
        <v>1601.9</v>
      </c>
      <c r="J46" s="12" t="n">
        <f aca="false">G46-I46</f>
        <v>87.5</v>
      </c>
      <c r="K46" s="13" t="n">
        <f aca="false">G46^2.37/(G46^2.37+I46^2.37)</f>
        <v>0.531469282622092</v>
      </c>
      <c r="L46" s="14" t="n">
        <f aca="false">(E46/(E46+F46))-K46</f>
        <v>0.00699225583944674</v>
      </c>
      <c r="M46" s="15" t="n">
        <f aca="false">IF(B46=_xlfn.MAXIFS($B$2:$B$163,$A$2:$A$163,A46),1,0)</f>
        <v>0</v>
      </c>
    </row>
    <row r="47" customFormat="false" ht="15" hidden="false" customHeight="false" outlineLevel="0" collapsed="false">
      <c r="A47" s="16" t="n">
        <v>2016</v>
      </c>
      <c r="B47" s="16" t="n">
        <v>4</v>
      </c>
      <c r="C47" s="16" t="s">
        <v>40</v>
      </c>
      <c r="D47" s="16" t="s">
        <v>41</v>
      </c>
      <c r="E47" s="16" t="n">
        <v>7</v>
      </c>
      <c r="F47" s="16" t="n">
        <v>6</v>
      </c>
      <c r="G47" s="17" t="n">
        <v>1652.4</v>
      </c>
      <c r="H47" s="22" t="s">
        <v>48</v>
      </c>
      <c r="I47" s="17" t="n">
        <v>1597.7</v>
      </c>
      <c r="J47" s="19" t="n">
        <f aca="false">G47-I47</f>
        <v>54.7</v>
      </c>
      <c r="K47" s="20" t="n">
        <f aca="false">G47^2.37/(G47^2.37+I47^2.37)</f>
        <v>0.519935157940384</v>
      </c>
      <c r="L47" s="21" t="n">
        <f aca="false">(E47/(E47+F47))-K47</f>
        <v>0.0185263805211547</v>
      </c>
      <c r="M47" s="15" t="n">
        <f aca="false">IF(B47=_xlfn.MAXIFS($B$2:$B$163,$A$2:$A$163,A47),1,0)</f>
        <v>0</v>
      </c>
    </row>
    <row r="48" customFormat="false" ht="15" hidden="false" customHeight="false" outlineLevel="0" collapsed="false">
      <c r="A48" s="9" t="n">
        <v>2016</v>
      </c>
      <c r="B48" s="9" t="n">
        <v>5</v>
      </c>
      <c r="C48" s="9" t="s">
        <v>68</v>
      </c>
      <c r="D48" s="9" t="s">
        <v>69</v>
      </c>
      <c r="E48" s="9" t="n">
        <v>7</v>
      </c>
      <c r="F48" s="9" t="n">
        <v>6</v>
      </c>
      <c r="G48" s="10" t="n">
        <v>1551.9</v>
      </c>
      <c r="H48" s="25" t="s">
        <v>67</v>
      </c>
      <c r="I48" s="10" t="n">
        <v>1649.9</v>
      </c>
      <c r="J48" s="12" t="n">
        <f aca="false">G48-I48</f>
        <v>-98</v>
      </c>
      <c r="K48" s="13" t="n">
        <f aca="false">G48^2.37/(G48^2.37+I48^2.37)</f>
        <v>0.463781989405271</v>
      </c>
      <c r="L48" s="14" t="n">
        <f aca="false">(E48/(E48+F48))-K48</f>
        <v>0.0746795490562672</v>
      </c>
      <c r="M48" s="15" t="n">
        <f aca="false">IF(B48=_xlfn.MAXIFS($B$2:$B$163,$A$2:$A$163,A48),1,0)</f>
        <v>0</v>
      </c>
    </row>
    <row r="49" customFormat="false" ht="15" hidden="false" customHeight="false" outlineLevel="0" collapsed="false">
      <c r="A49" s="16" t="n">
        <v>2016</v>
      </c>
      <c r="B49" s="16" t="n">
        <v>6</v>
      </c>
      <c r="C49" s="16" t="s">
        <v>63</v>
      </c>
      <c r="D49" s="16" t="s">
        <v>64</v>
      </c>
      <c r="E49" s="16" t="n">
        <v>7</v>
      </c>
      <c r="F49" s="16" t="n">
        <v>6</v>
      </c>
      <c r="G49" s="17" t="n">
        <v>1491.6</v>
      </c>
      <c r="H49" s="11" t="s">
        <v>42</v>
      </c>
      <c r="I49" s="17" t="n">
        <v>1523</v>
      </c>
      <c r="J49" s="19" t="n">
        <f aca="false">G49-I49</f>
        <v>-31.4000000000001</v>
      </c>
      <c r="K49" s="20" t="n">
        <f aca="false">G49^2.37/(G49^2.37+I49^2.37)</f>
        <v>0.487659129418011</v>
      </c>
      <c r="L49" s="21" t="n">
        <f aca="false">(E49/(E49+F49))-K49</f>
        <v>0.0508024090435271</v>
      </c>
      <c r="M49" s="15" t="n">
        <f aca="false">IF(B49=_xlfn.MAXIFS($B$2:$B$163,$A$2:$A$163,A49),1,0)</f>
        <v>0</v>
      </c>
    </row>
    <row r="50" customFormat="false" ht="15" hidden="false" customHeight="false" outlineLevel="0" collapsed="false">
      <c r="A50" s="9" t="n">
        <v>2016</v>
      </c>
      <c r="B50" s="9" t="n">
        <v>7</v>
      </c>
      <c r="C50" s="9" t="s">
        <v>43</v>
      </c>
      <c r="D50" s="9" t="s">
        <v>44</v>
      </c>
      <c r="E50" s="9" t="n">
        <v>7</v>
      </c>
      <c r="F50" s="9" t="n">
        <v>6</v>
      </c>
      <c r="G50" s="10" t="n">
        <v>1445.5</v>
      </c>
      <c r="H50" s="24" t="s">
        <v>54</v>
      </c>
      <c r="I50" s="10" t="n">
        <v>1611.4</v>
      </c>
      <c r="J50" s="12" t="n">
        <f aca="false">G50-I50</f>
        <v>-165.9</v>
      </c>
      <c r="K50" s="13" t="n">
        <f aca="false">G50^2.37/(G50^2.37+I50^2.37)</f>
        <v>0.43597935630723</v>
      </c>
      <c r="L50" s="14" t="n">
        <f aca="false">(E50/(E50+F50))-K50</f>
        <v>0.102482182154308</v>
      </c>
      <c r="M50" s="15" t="n">
        <f aca="false">IF(B50=_xlfn.MAXIFS($B$2:$B$163,$A$2:$A$163,A50),1,0)</f>
        <v>0</v>
      </c>
    </row>
    <row r="51" customFormat="false" ht="15" hidden="false" customHeight="false" outlineLevel="0" collapsed="false">
      <c r="A51" s="16" t="n">
        <v>2016</v>
      </c>
      <c r="B51" s="16" t="n">
        <v>8</v>
      </c>
      <c r="C51" s="16" t="s">
        <v>61</v>
      </c>
      <c r="D51" s="16" t="s">
        <v>62</v>
      </c>
      <c r="E51" s="16" t="n">
        <v>6</v>
      </c>
      <c r="F51" s="16" t="n">
        <v>7</v>
      </c>
      <c r="G51" s="17" t="n">
        <v>1531.5</v>
      </c>
      <c r="H51" s="24" t="s">
        <v>54</v>
      </c>
      <c r="I51" s="17" t="n">
        <v>1501.4</v>
      </c>
      <c r="J51" s="19" t="n">
        <f aca="false">G51-I51</f>
        <v>30.0999999999999</v>
      </c>
      <c r="K51" s="20" t="n">
        <f aca="false">G51^2.37/(G51^2.37+I51^2.37)</f>
        <v>0.511758743840647</v>
      </c>
      <c r="L51" s="21" t="n">
        <f aca="false">(E51/(E51+F51))-K51</f>
        <v>-0.0502202823021857</v>
      </c>
      <c r="M51" s="15" t="n">
        <f aca="false">IF(B51=_xlfn.MAXIFS($B$2:$B$163,$A$2:$A$163,A51),1,0)</f>
        <v>0</v>
      </c>
    </row>
    <row r="52" customFormat="false" ht="15" hidden="false" customHeight="false" outlineLevel="0" collapsed="false">
      <c r="A52" s="9" t="n">
        <v>2016</v>
      </c>
      <c r="B52" s="9" t="n">
        <v>9</v>
      </c>
      <c r="C52" s="9" t="s">
        <v>65</v>
      </c>
      <c r="D52" s="9" t="s">
        <v>66</v>
      </c>
      <c r="E52" s="9" t="n">
        <v>5</v>
      </c>
      <c r="F52" s="9" t="n">
        <v>8</v>
      </c>
      <c r="G52" s="10" t="n">
        <v>1582.7</v>
      </c>
      <c r="H52" s="24" t="s">
        <v>54</v>
      </c>
      <c r="I52" s="10" t="n">
        <v>1544.4</v>
      </c>
      <c r="J52" s="12" t="n">
        <f aca="false">G52-I52</f>
        <v>38.3</v>
      </c>
      <c r="K52" s="13" t="n">
        <f aca="false">G52^2.37/(G52^2.37+I52^2.37)</f>
        <v>0.514510257114586</v>
      </c>
      <c r="L52" s="14" t="n">
        <f aca="false">(E52/(E52+F52))-K52</f>
        <v>-0.129894872499201</v>
      </c>
      <c r="M52" s="15" t="n">
        <f aca="false">IF(B52=_xlfn.MAXIFS($B$2:$B$163,$A$2:$A$163,A52),1,0)</f>
        <v>0</v>
      </c>
    </row>
    <row r="53" customFormat="false" ht="15" hidden="false" customHeight="false" outlineLevel="0" collapsed="false">
      <c r="A53" s="16" t="n">
        <v>2016</v>
      </c>
      <c r="B53" s="16" t="n">
        <v>10</v>
      </c>
      <c r="C53" s="16" t="s">
        <v>46</v>
      </c>
      <c r="D53" s="16" t="s">
        <v>47</v>
      </c>
      <c r="E53" s="16" t="n">
        <v>5</v>
      </c>
      <c r="F53" s="16" t="n">
        <v>8</v>
      </c>
      <c r="G53" s="17" t="n">
        <v>1421.4</v>
      </c>
      <c r="H53" s="24" t="s">
        <v>54</v>
      </c>
      <c r="I53" s="17" t="n">
        <v>1633</v>
      </c>
      <c r="J53" s="19" t="n">
        <f aca="false">G53-I53</f>
        <v>-211.6</v>
      </c>
      <c r="K53" s="20" t="n">
        <f aca="false">G53^2.37/(G53^2.37+I53^2.37)</f>
        <v>0.418508212670142</v>
      </c>
      <c r="L53" s="21" t="n">
        <f aca="false">(E53/(E53+F53))-K53</f>
        <v>-0.0338928280547576</v>
      </c>
      <c r="M53" s="15" t="n">
        <f aca="false">IF(B53=_xlfn.MAXIFS($B$2:$B$163,$A$2:$A$163,A53),1,0)</f>
        <v>0</v>
      </c>
    </row>
    <row r="54" customFormat="false" ht="15" hidden="false" customHeight="false" outlineLevel="0" collapsed="false">
      <c r="A54" s="9" t="n">
        <v>2016</v>
      </c>
      <c r="B54" s="9" t="n">
        <v>11</v>
      </c>
      <c r="C54" s="9" t="s">
        <v>52</v>
      </c>
      <c r="D54" s="9" t="s">
        <v>53</v>
      </c>
      <c r="E54" s="9" t="n">
        <v>5</v>
      </c>
      <c r="F54" s="9" t="n">
        <v>8</v>
      </c>
      <c r="G54" s="10" t="n">
        <v>1392.7</v>
      </c>
      <c r="H54" s="24" t="s">
        <v>54</v>
      </c>
      <c r="I54" s="10" t="n">
        <v>1569.6</v>
      </c>
      <c r="J54" s="12" t="n">
        <f aca="false">G54-I54</f>
        <v>-176.9</v>
      </c>
      <c r="K54" s="13" t="n">
        <f aca="false">G54^2.37/(G54^2.37+I54^2.37)</f>
        <v>0.429621323630688</v>
      </c>
      <c r="L54" s="14" t="n">
        <f aca="false">(E54/(E54+F54))-K54</f>
        <v>-0.0450059390153034</v>
      </c>
      <c r="M54" s="15" t="n">
        <f aca="false">IF(B54=_xlfn.MAXIFS($B$2:$B$163,$A$2:$A$163,A54),1,0)</f>
        <v>0</v>
      </c>
    </row>
    <row r="55" customFormat="false" ht="15" hidden="false" customHeight="false" outlineLevel="0" collapsed="false">
      <c r="A55" s="16" t="n">
        <v>2016</v>
      </c>
      <c r="B55" s="16" t="n">
        <v>12</v>
      </c>
      <c r="C55" s="16" t="s">
        <v>55</v>
      </c>
      <c r="D55" s="16" t="s">
        <v>56</v>
      </c>
      <c r="E55" s="16" t="n">
        <v>4</v>
      </c>
      <c r="F55" s="16" t="n">
        <v>9</v>
      </c>
      <c r="G55" s="17" t="n">
        <v>1590.6</v>
      </c>
      <c r="H55" s="24" t="s">
        <v>54</v>
      </c>
      <c r="I55" s="17" t="n">
        <v>1669.3</v>
      </c>
      <c r="J55" s="19" t="n">
        <f aca="false">G55-I55</f>
        <v>-78.7000000000001</v>
      </c>
      <c r="K55" s="20" t="n">
        <f aca="false">G55^2.37/(G55^2.37+I55^2.37)</f>
        <v>0.471417549392264</v>
      </c>
      <c r="L55" s="21" t="n">
        <f aca="false">(E55/(E55+F55))-K55</f>
        <v>-0.163725241699957</v>
      </c>
      <c r="M55" s="15" t="n">
        <f aca="false">IF(B55=_xlfn.MAXIFS($B$2:$B$163,$A$2:$A$163,A55),1,0)</f>
        <v>1</v>
      </c>
    </row>
    <row r="56" customFormat="false" ht="15" hidden="false" customHeight="false" outlineLevel="0" collapsed="false">
      <c r="A56" s="9" t="n">
        <v>2017</v>
      </c>
      <c r="B56" s="9" t="n">
        <v>1</v>
      </c>
      <c r="C56" s="9" t="s">
        <v>49</v>
      </c>
      <c r="D56" s="9" t="s">
        <v>50</v>
      </c>
      <c r="E56" s="9" t="n">
        <v>9</v>
      </c>
      <c r="F56" s="9" t="n">
        <v>4</v>
      </c>
      <c r="G56" s="10" t="n">
        <v>1547.4</v>
      </c>
      <c r="H56" s="18" t="s">
        <v>45</v>
      </c>
      <c r="I56" s="10" t="n">
        <v>1504.1</v>
      </c>
      <c r="J56" s="12" t="n">
        <f aca="false">G56-I56</f>
        <v>43.3000000000002</v>
      </c>
      <c r="K56" s="13" t="n">
        <f aca="false">G56^2.37/(G56^2.37+I56^2.37)</f>
        <v>0.516809636484402</v>
      </c>
      <c r="L56" s="14" t="n">
        <f aca="false">(E56/(E56+F56))-K56</f>
        <v>0.175498055823291</v>
      </c>
      <c r="M56" s="15" t="n">
        <f aca="false">IF(B56=_xlfn.MAXIFS($B$2:$B$163,$A$2:$A$163,A56),1,0)</f>
        <v>0</v>
      </c>
    </row>
    <row r="57" customFormat="false" ht="15" hidden="false" customHeight="false" outlineLevel="0" collapsed="false">
      <c r="A57" s="16" t="n">
        <v>2017</v>
      </c>
      <c r="B57" s="16" t="n">
        <v>2</v>
      </c>
      <c r="C57" s="16" t="s">
        <v>52</v>
      </c>
      <c r="D57" s="16" t="s">
        <v>53</v>
      </c>
      <c r="E57" s="16" t="n">
        <v>9</v>
      </c>
      <c r="F57" s="16" t="n">
        <v>4</v>
      </c>
      <c r="G57" s="17" t="n">
        <v>1535.7</v>
      </c>
      <c r="H57" s="11" t="s">
        <v>42</v>
      </c>
      <c r="I57" s="17" t="n">
        <v>1414.6</v>
      </c>
      <c r="J57" s="19" t="n">
        <f aca="false">G57-I57</f>
        <v>121.1</v>
      </c>
      <c r="K57" s="20" t="n">
        <f aca="false">G57^2.37/(G57^2.37+I57^2.37)</f>
        <v>0.548514537447972</v>
      </c>
      <c r="L57" s="21" t="n">
        <f aca="false">(E57/(E57+F57))-K57</f>
        <v>0.14379315485972</v>
      </c>
      <c r="M57" s="15" t="n">
        <f aca="false">IF(B57=_xlfn.MAXIFS($B$2:$B$163,$A$2:$A$163,A57),1,0)</f>
        <v>0</v>
      </c>
    </row>
    <row r="58" customFormat="false" ht="15" hidden="false" customHeight="false" outlineLevel="0" collapsed="false">
      <c r="A58" s="9" t="n">
        <v>2017</v>
      </c>
      <c r="B58" s="9" t="n">
        <v>3</v>
      </c>
      <c r="C58" s="9" t="s">
        <v>61</v>
      </c>
      <c r="D58" s="9" t="s">
        <v>62</v>
      </c>
      <c r="E58" s="9" t="n">
        <v>8</v>
      </c>
      <c r="F58" s="9" t="n">
        <v>5</v>
      </c>
      <c r="G58" s="10" t="n">
        <v>1608.5</v>
      </c>
      <c r="H58" s="25" t="s">
        <v>67</v>
      </c>
      <c r="I58" s="10" t="n">
        <v>1415.3</v>
      </c>
      <c r="J58" s="12" t="n">
        <f aca="false">G58-I58</f>
        <v>193.2</v>
      </c>
      <c r="K58" s="13" t="n">
        <f aca="false">G58^2.37/(G58^2.37+I58^2.37)</f>
        <v>0.575240842974894</v>
      </c>
      <c r="L58" s="14" t="n">
        <f aca="false">(E58/(E58+F58))-K58</f>
        <v>0.0401437724097219</v>
      </c>
      <c r="M58" s="15" t="n">
        <f aca="false">IF(B58=_xlfn.MAXIFS($B$2:$B$163,$A$2:$A$163,A58),1,0)</f>
        <v>0</v>
      </c>
    </row>
    <row r="59" customFormat="false" ht="15" hidden="false" customHeight="false" outlineLevel="0" collapsed="false">
      <c r="A59" s="16" t="n">
        <v>2017</v>
      </c>
      <c r="B59" s="16" t="n">
        <v>4</v>
      </c>
      <c r="C59" s="16" t="s">
        <v>63</v>
      </c>
      <c r="D59" s="16" t="s">
        <v>64</v>
      </c>
      <c r="E59" s="16" t="n">
        <v>8</v>
      </c>
      <c r="F59" s="16" t="n">
        <v>5</v>
      </c>
      <c r="G59" s="17" t="n">
        <v>1402</v>
      </c>
      <c r="H59" s="25" t="s">
        <v>67</v>
      </c>
      <c r="I59" s="17" t="n">
        <v>1291.8</v>
      </c>
      <c r="J59" s="19" t="n">
        <f aca="false">G59-I59</f>
        <v>110.2</v>
      </c>
      <c r="K59" s="20" t="n">
        <f aca="false">G59^2.37/(G59^2.37+I59^2.37)</f>
        <v>0.548352363727446</v>
      </c>
      <c r="L59" s="21" t="n">
        <f aca="false">(E59/(E59+F59))-K59</f>
        <v>0.0670322516571698</v>
      </c>
      <c r="M59" s="15" t="n">
        <f aca="false">IF(B59=_xlfn.MAXIFS($B$2:$B$163,$A$2:$A$163,A59),1,0)</f>
        <v>0</v>
      </c>
    </row>
    <row r="60" customFormat="false" ht="15" hidden="false" customHeight="false" outlineLevel="0" collapsed="false">
      <c r="A60" s="9" t="n">
        <v>2017</v>
      </c>
      <c r="B60" s="9" t="n">
        <v>5</v>
      </c>
      <c r="C60" s="9" t="s">
        <v>55</v>
      </c>
      <c r="D60" s="9" t="s">
        <v>56</v>
      </c>
      <c r="E60" s="9" t="n">
        <v>7</v>
      </c>
      <c r="F60" s="9" t="n">
        <v>6</v>
      </c>
      <c r="G60" s="10" t="n">
        <v>1549</v>
      </c>
      <c r="H60" s="22" t="s">
        <v>48</v>
      </c>
      <c r="I60" s="10" t="n">
        <v>1397.6</v>
      </c>
      <c r="J60" s="12" t="n">
        <f aca="false">G60-I60</f>
        <v>151.4</v>
      </c>
      <c r="K60" s="13" t="n">
        <f aca="false">G60^2.37/(G60^2.37+I60^2.37)</f>
        <v>0.560640477288919</v>
      </c>
      <c r="L60" s="14" t="n">
        <f aca="false">(E60/(E60+F60))-K60</f>
        <v>-0.0221789388273802</v>
      </c>
      <c r="M60" s="15" t="n">
        <f aca="false">IF(B60=_xlfn.MAXIFS($B$2:$B$163,$A$2:$A$163,A60),1,0)</f>
        <v>0</v>
      </c>
    </row>
    <row r="61" customFormat="false" ht="15" hidden="false" customHeight="false" outlineLevel="0" collapsed="false">
      <c r="A61" s="16" t="n">
        <v>2017</v>
      </c>
      <c r="B61" s="16" t="n">
        <v>6</v>
      </c>
      <c r="C61" s="16" t="s">
        <v>46</v>
      </c>
      <c r="D61" s="16" t="s">
        <v>47</v>
      </c>
      <c r="E61" s="16" t="n">
        <v>7</v>
      </c>
      <c r="F61" s="16" t="n">
        <v>6</v>
      </c>
      <c r="G61" s="17" t="n">
        <v>1524.1</v>
      </c>
      <c r="H61" s="23" t="s">
        <v>51</v>
      </c>
      <c r="I61" s="17" t="n">
        <v>1461.3</v>
      </c>
      <c r="J61" s="19" t="n">
        <f aca="false">G61-I61</f>
        <v>62.8</v>
      </c>
      <c r="K61" s="20" t="n">
        <f aca="false">G61^2.37/(G61^2.37+I61^2.37)</f>
        <v>0.524910349927016</v>
      </c>
      <c r="L61" s="21" t="n">
        <f aca="false">(E61/(E61+F61))-K61</f>
        <v>0.0135511885345221</v>
      </c>
      <c r="M61" s="15" t="n">
        <f aca="false">IF(B61=_xlfn.MAXIFS($B$2:$B$163,$A$2:$A$163,A61),1,0)</f>
        <v>0</v>
      </c>
    </row>
    <row r="62" customFormat="false" ht="15" hidden="false" customHeight="false" outlineLevel="0" collapsed="false">
      <c r="A62" s="9" t="n">
        <v>2017</v>
      </c>
      <c r="B62" s="9" t="n">
        <v>7</v>
      </c>
      <c r="C62" s="9" t="s">
        <v>40</v>
      </c>
      <c r="D62" s="9" t="s">
        <v>41</v>
      </c>
      <c r="E62" s="9" t="n">
        <v>7</v>
      </c>
      <c r="F62" s="9" t="n">
        <v>6</v>
      </c>
      <c r="G62" s="10" t="n">
        <v>1494.6</v>
      </c>
      <c r="H62" s="24" t="s">
        <v>54</v>
      </c>
      <c r="I62" s="10" t="n">
        <v>1475</v>
      </c>
      <c r="J62" s="12" t="n">
        <f aca="false">G62-I62</f>
        <v>19.5999999999999</v>
      </c>
      <c r="K62" s="13" t="n">
        <f aca="false">G62^2.37/(G62^2.37+I62^2.37)</f>
        <v>0.507820731074769</v>
      </c>
      <c r="L62" s="14" t="n">
        <f aca="false">(E62/(E62+F62))-K62</f>
        <v>0.0306408073867693</v>
      </c>
      <c r="M62" s="15" t="n">
        <f aca="false">IF(B62=_xlfn.MAXIFS($B$2:$B$163,$A$2:$A$163,A62),1,0)</f>
        <v>0</v>
      </c>
    </row>
    <row r="63" customFormat="false" ht="15" hidden="false" customHeight="false" outlineLevel="0" collapsed="false">
      <c r="A63" s="16" t="n">
        <v>2017</v>
      </c>
      <c r="B63" s="16" t="n">
        <v>8</v>
      </c>
      <c r="C63" s="16" t="s">
        <v>57</v>
      </c>
      <c r="D63" s="16" t="s">
        <v>58</v>
      </c>
      <c r="E63" s="16" t="n">
        <v>6</v>
      </c>
      <c r="F63" s="16" t="n">
        <v>7</v>
      </c>
      <c r="G63" s="17" t="n">
        <v>1496.1</v>
      </c>
      <c r="H63" s="24" t="s">
        <v>54</v>
      </c>
      <c r="I63" s="17" t="n">
        <v>1529.2</v>
      </c>
      <c r="J63" s="19" t="n">
        <f aca="false">G63-I63</f>
        <v>-33.1000000000001</v>
      </c>
      <c r="K63" s="20" t="n">
        <f aca="false">G63^2.37/(G63^2.37+I63^2.37)</f>
        <v>0.487037227554562</v>
      </c>
      <c r="L63" s="21" t="n">
        <f aca="false">(E63/(E63+F63))-K63</f>
        <v>-0.0254987660161005</v>
      </c>
      <c r="M63" s="15" t="n">
        <f aca="false">IF(B63=_xlfn.MAXIFS($B$2:$B$163,$A$2:$A$163,A63),1,0)</f>
        <v>0</v>
      </c>
    </row>
    <row r="64" customFormat="false" ht="15" hidden="false" customHeight="false" outlineLevel="0" collapsed="false">
      <c r="A64" s="9" t="n">
        <v>2017</v>
      </c>
      <c r="B64" s="9" t="n">
        <v>9</v>
      </c>
      <c r="C64" s="9" t="s">
        <v>59</v>
      </c>
      <c r="D64" s="9" t="s">
        <v>60</v>
      </c>
      <c r="E64" s="9" t="n">
        <v>6</v>
      </c>
      <c r="F64" s="9" t="n">
        <v>7</v>
      </c>
      <c r="G64" s="10" t="n">
        <v>1476.6</v>
      </c>
      <c r="H64" s="24" t="s">
        <v>54</v>
      </c>
      <c r="I64" s="10" t="n">
        <v>1500.3</v>
      </c>
      <c r="J64" s="12" t="n">
        <f aca="false">G64-I64</f>
        <v>-23.7</v>
      </c>
      <c r="K64" s="13" t="n">
        <f aca="false">G64^2.37/(G64^2.37+I64^2.37)</f>
        <v>0.490566777240993</v>
      </c>
      <c r="L64" s="14" t="n">
        <f aca="false">(E64/(E64+F64))-K64</f>
        <v>-0.0290283157025311</v>
      </c>
      <c r="M64" s="15" t="n">
        <f aca="false">IF(B64=_xlfn.MAXIFS($B$2:$B$163,$A$2:$A$163,A64),1,0)</f>
        <v>0</v>
      </c>
    </row>
    <row r="65" customFormat="false" ht="15" hidden="false" customHeight="false" outlineLevel="0" collapsed="false">
      <c r="A65" s="16" t="n">
        <v>2017</v>
      </c>
      <c r="B65" s="16" t="n">
        <v>10</v>
      </c>
      <c r="C65" s="16" t="s">
        <v>65</v>
      </c>
      <c r="D65" s="16" t="s">
        <v>66</v>
      </c>
      <c r="E65" s="16" t="n">
        <v>4</v>
      </c>
      <c r="F65" s="16" t="n">
        <v>9</v>
      </c>
      <c r="G65" s="17" t="n">
        <v>1307</v>
      </c>
      <c r="H65" s="24" t="s">
        <v>54</v>
      </c>
      <c r="I65" s="17" t="n">
        <v>1468.9</v>
      </c>
      <c r="J65" s="19" t="n">
        <f aca="false">G65-I65</f>
        <v>-161.9</v>
      </c>
      <c r="K65" s="20" t="n">
        <f aca="false">G65^2.37/(G65^2.37+I65^2.37)</f>
        <v>0.431246530711023</v>
      </c>
      <c r="L65" s="21" t="n">
        <f aca="false">(E65/(E65+F65))-K65</f>
        <v>-0.123554223018715</v>
      </c>
      <c r="M65" s="15" t="n">
        <f aca="false">IF(B65=_xlfn.MAXIFS($B$2:$B$163,$A$2:$A$163,A65),1,0)</f>
        <v>0</v>
      </c>
    </row>
    <row r="66" customFormat="false" ht="15" hidden="false" customHeight="false" outlineLevel="0" collapsed="false">
      <c r="A66" s="9" t="n">
        <v>2017</v>
      </c>
      <c r="B66" s="9" t="n">
        <v>11</v>
      </c>
      <c r="C66" s="9" t="s">
        <v>68</v>
      </c>
      <c r="D66" s="9" t="s">
        <v>69</v>
      </c>
      <c r="E66" s="9" t="n">
        <v>4</v>
      </c>
      <c r="F66" s="9" t="n">
        <v>9</v>
      </c>
      <c r="G66" s="10" t="n">
        <v>1265.4</v>
      </c>
      <c r="H66" s="24" t="s">
        <v>54</v>
      </c>
      <c r="I66" s="10" t="n">
        <v>1463.5</v>
      </c>
      <c r="J66" s="12" t="n">
        <f aca="false">G66-I66</f>
        <v>-198.1</v>
      </c>
      <c r="K66" s="13" t="n">
        <f aca="false">G66^2.37/(G66^2.37+I66^2.37)</f>
        <v>0.414668525591536</v>
      </c>
      <c r="L66" s="14" t="n">
        <f aca="false">(E66/(E66+F66))-K66</f>
        <v>-0.106976217899228</v>
      </c>
      <c r="M66" s="15" t="n">
        <f aca="false">IF(B66=_xlfn.MAXIFS($B$2:$B$163,$A$2:$A$163,A66),1,0)</f>
        <v>0</v>
      </c>
    </row>
    <row r="67" customFormat="false" ht="15" hidden="false" customHeight="false" outlineLevel="0" collapsed="false">
      <c r="A67" s="16" t="n">
        <v>2017</v>
      </c>
      <c r="B67" s="16" t="n">
        <v>12</v>
      </c>
      <c r="C67" s="16" t="s">
        <v>43</v>
      </c>
      <c r="D67" s="16" t="s">
        <v>44</v>
      </c>
      <c r="E67" s="16" t="n">
        <v>3</v>
      </c>
      <c r="F67" s="16" t="n">
        <v>10</v>
      </c>
      <c r="G67" s="17" t="n">
        <v>1181</v>
      </c>
      <c r="H67" s="24" t="s">
        <v>54</v>
      </c>
      <c r="I67" s="17" t="n">
        <v>1465.6</v>
      </c>
      <c r="J67" s="19" t="n">
        <f aca="false">G67-I67</f>
        <v>-284.6</v>
      </c>
      <c r="K67" s="20" t="n">
        <f aca="false">G67^2.37/(G67^2.37+I67^2.37)</f>
        <v>0.374797309245835</v>
      </c>
      <c r="L67" s="21" t="n">
        <f aca="false">(E67/(E67+F67))-K67</f>
        <v>-0.144028078476604</v>
      </c>
      <c r="M67" s="15" t="n">
        <f aca="false">IF(B67=_xlfn.MAXIFS($B$2:$B$163,$A$2:$A$163,A67),1,0)</f>
        <v>1</v>
      </c>
    </row>
    <row r="68" customFormat="false" ht="15" hidden="false" customHeight="false" outlineLevel="0" collapsed="false">
      <c r="A68" s="9" t="n">
        <v>2018</v>
      </c>
      <c r="B68" s="9" t="n">
        <v>1</v>
      </c>
      <c r="C68" s="9" t="s">
        <v>49</v>
      </c>
      <c r="D68" s="9" t="s">
        <v>50</v>
      </c>
      <c r="E68" s="9" t="n">
        <v>11</v>
      </c>
      <c r="F68" s="9" t="n">
        <v>2</v>
      </c>
      <c r="G68" s="10" t="n">
        <v>1842.8</v>
      </c>
      <c r="H68" s="22" t="s">
        <v>48</v>
      </c>
      <c r="I68" s="10" t="n">
        <v>1532.5</v>
      </c>
      <c r="J68" s="12" t="n">
        <f aca="false">G68-I68</f>
        <v>310.3</v>
      </c>
      <c r="K68" s="13" t="n">
        <f aca="false">G68^2.37/(G68^2.37+I68^2.37)</f>
        <v>0.607542591352719</v>
      </c>
      <c r="L68" s="14" t="n">
        <f aca="false">(E68/(E68+F68))-K68</f>
        <v>0.238611254801127</v>
      </c>
      <c r="M68" s="15" t="n">
        <f aca="false">IF(B68=_xlfn.MAXIFS($B$2:$B$163,$A$2:$A$163,A68),1,0)</f>
        <v>0</v>
      </c>
    </row>
    <row r="69" customFormat="false" ht="15" hidden="false" customHeight="false" outlineLevel="0" collapsed="false">
      <c r="A69" s="16" t="n">
        <v>2018</v>
      </c>
      <c r="B69" s="16" t="n">
        <v>2</v>
      </c>
      <c r="C69" s="16" t="s">
        <v>55</v>
      </c>
      <c r="D69" s="16" t="s">
        <v>56</v>
      </c>
      <c r="E69" s="16" t="n">
        <v>9</v>
      </c>
      <c r="F69" s="16" t="n">
        <v>4</v>
      </c>
      <c r="G69" s="17" t="n">
        <v>1677.1</v>
      </c>
      <c r="H69" s="11" t="s">
        <v>42</v>
      </c>
      <c r="I69" s="17" t="n">
        <v>1522.1</v>
      </c>
      <c r="J69" s="19" t="n">
        <f aca="false">G69-I69</f>
        <v>155</v>
      </c>
      <c r="K69" s="20" t="n">
        <f aca="false">G69^2.37/(G69^2.37+I69^2.37)</f>
        <v>0.557206184706669</v>
      </c>
      <c r="L69" s="21" t="n">
        <f aca="false">(E69/(E69+F69))-K69</f>
        <v>0.135101507601024</v>
      </c>
      <c r="M69" s="15" t="n">
        <f aca="false">IF(B69=_xlfn.MAXIFS($B$2:$B$163,$A$2:$A$163,A69),1,0)</f>
        <v>0</v>
      </c>
    </row>
    <row r="70" customFormat="false" ht="15" hidden="false" customHeight="false" outlineLevel="0" collapsed="false">
      <c r="A70" s="9" t="n">
        <v>2018</v>
      </c>
      <c r="B70" s="9" t="n">
        <v>3</v>
      </c>
      <c r="C70" s="9" t="s">
        <v>40</v>
      </c>
      <c r="D70" s="9" t="s">
        <v>41</v>
      </c>
      <c r="E70" s="9" t="n">
        <v>8</v>
      </c>
      <c r="F70" s="9" t="n">
        <v>5</v>
      </c>
      <c r="G70" s="10" t="n">
        <v>1750.3</v>
      </c>
      <c r="H70" s="23" t="s">
        <v>51</v>
      </c>
      <c r="I70" s="10" t="n">
        <v>1701.7</v>
      </c>
      <c r="J70" s="12" t="n">
        <f aca="false">G70-I70</f>
        <v>48.5999999999999</v>
      </c>
      <c r="K70" s="13" t="n">
        <f aca="false">G70^2.37/(G70^2.37+I70^2.37)</f>
        <v>0.516678284483428</v>
      </c>
      <c r="L70" s="14" t="n">
        <f aca="false">(E70/(E70+F70))-K70</f>
        <v>0.0987063309011876</v>
      </c>
      <c r="M70" s="15" t="n">
        <f aca="false">IF(B70=_xlfn.MAXIFS($B$2:$B$163,$A$2:$A$163,A70),1,0)</f>
        <v>0</v>
      </c>
    </row>
    <row r="71" customFormat="false" ht="15" hidden="false" customHeight="false" outlineLevel="0" collapsed="false">
      <c r="A71" s="16" t="n">
        <v>2018</v>
      </c>
      <c r="B71" s="16" t="n">
        <v>4</v>
      </c>
      <c r="C71" s="16" t="s">
        <v>63</v>
      </c>
      <c r="D71" s="16" t="s">
        <v>64</v>
      </c>
      <c r="E71" s="16" t="n">
        <v>8</v>
      </c>
      <c r="F71" s="16" t="n">
        <v>5</v>
      </c>
      <c r="G71" s="17" t="n">
        <v>1658.1</v>
      </c>
      <c r="H71" s="18" t="s">
        <v>45</v>
      </c>
      <c r="I71" s="17" t="n">
        <v>1487.7</v>
      </c>
      <c r="J71" s="19" t="n">
        <f aca="false">G71-I71</f>
        <v>170.4</v>
      </c>
      <c r="K71" s="20" t="n">
        <f aca="false">G71^2.37/(G71^2.37+I71^2.37)</f>
        <v>0.563899992352276</v>
      </c>
      <c r="L71" s="21" t="n">
        <f aca="false">(E71/(E71+F71))-K71</f>
        <v>0.0514846230323399</v>
      </c>
      <c r="M71" s="15" t="n">
        <f aca="false">IF(B71=_xlfn.MAXIFS($B$2:$B$163,$A$2:$A$163,A71),1,0)</f>
        <v>0</v>
      </c>
    </row>
    <row r="72" customFormat="false" ht="15" hidden="false" customHeight="false" outlineLevel="0" collapsed="false">
      <c r="A72" s="9" t="n">
        <v>2018</v>
      </c>
      <c r="B72" s="9" t="n">
        <v>5</v>
      </c>
      <c r="C72" s="9" t="s">
        <v>68</v>
      </c>
      <c r="D72" s="9" t="s">
        <v>69</v>
      </c>
      <c r="E72" s="9" t="n">
        <v>7</v>
      </c>
      <c r="F72" s="9" t="n">
        <v>6</v>
      </c>
      <c r="G72" s="10" t="n">
        <v>1726.6</v>
      </c>
      <c r="H72" s="25" t="s">
        <v>67</v>
      </c>
      <c r="I72" s="10" t="n">
        <v>1588.6</v>
      </c>
      <c r="J72" s="12" t="n">
        <f aca="false">G72-I72</f>
        <v>138</v>
      </c>
      <c r="K72" s="13" t="n">
        <f aca="false">G72^2.37/(G72^2.37+I72^2.37)</f>
        <v>0.549196175680677</v>
      </c>
      <c r="L72" s="14" t="n">
        <f aca="false">(E72/(E72+F72))-K72</f>
        <v>-0.0107346372191387</v>
      </c>
      <c r="M72" s="15" t="n">
        <f aca="false">IF(B72=_xlfn.MAXIFS($B$2:$B$163,$A$2:$A$163,A72),1,0)</f>
        <v>0</v>
      </c>
    </row>
    <row r="73" customFormat="false" ht="15" hidden="false" customHeight="false" outlineLevel="0" collapsed="false">
      <c r="A73" s="16" t="n">
        <v>2018</v>
      </c>
      <c r="B73" s="16" t="n">
        <v>6</v>
      </c>
      <c r="C73" s="16" t="s">
        <v>61</v>
      </c>
      <c r="D73" s="16" t="s">
        <v>62</v>
      </c>
      <c r="E73" s="16" t="n">
        <v>7</v>
      </c>
      <c r="F73" s="16" t="n">
        <v>6</v>
      </c>
      <c r="G73" s="17" t="n">
        <v>1696.5</v>
      </c>
      <c r="H73" s="25" t="s">
        <v>67</v>
      </c>
      <c r="I73" s="17" t="n">
        <v>1682.7</v>
      </c>
      <c r="J73" s="19" t="n">
        <f aca="false">G73-I73</f>
        <v>13.8</v>
      </c>
      <c r="K73" s="20" t="n">
        <f aca="false">G73^2.37/(G73^2.37+I73^2.37)</f>
        <v>0.504839186876797</v>
      </c>
      <c r="L73" s="21" t="n">
        <f aca="false">(E73/(E73+F73))-K73</f>
        <v>0.0336223515847414</v>
      </c>
      <c r="M73" s="15" t="n">
        <f aca="false">IF(B73=_xlfn.MAXIFS($B$2:$B$163,$A$2:$A$163,A73),1,0)</f>
        <v>0</v>
      </c>
    </row>
    <row r="74" customFormat="false" ht="15" hidden="false" customHeight="false" outlineLevel="0" collapsed="false">
      <c r="A74" s="9" t="n">
        <v>2018</v>
      </c>
      <c r="B74" s="9" t="n">
        <v>7</v>
      </c>
      <c r="C74" s="9" t="s">
        <v>52</v>
      </c>
      <c r="D74" s="9" t="s">
        <v>53</v>
      </c>
      <c r="E74" s="9" t="n">
        <v>7</v>
      </c>
      <c r="F74" s="9" t="n">
        <v>6</v>
      </c>
      <c r="G74" s="10" t="n">
        <v>1660.9</v>
      </c>
      <c r="H74" s="24" t="s">
        <v>54</v>
      </c>
      <c r="I74" s="10" t="n">
        <v>1541.1</v>
      </c>
      <c r="J74" s="12" t="n">
        <f aca="false">G74-I74</f>
        <v>119.8</v>
      </c>
      <c r="K74" s="13" t="n">
        <f aca="false">G74^2.37/(G74^2.37+I74^2.37)</f>
        <v>0.544240436192972</v>
      </c>
      <c r="L74" s="14" t="n">
        <f aca="false">(E74/(E74+F74))-K74</f>
        <v>-0.0057788977314337</v>
      </c>
      <c r="M74" s="15" t="n">
        <f aca="false">IF(B74=_xlfn.MAXIFS($B$2:$B$163,$A$2:$A$163,A74),1,0)</f>
        <v>0</v>
      </c>
    </row>
    <row r="75" customFormat="false" ht="15" hidden="false" customHeight="false" outlineLevel="0" collapsed="false">
      <c r="A75" s="16" t="n">
        <v>2018</v>
      </c>
      <c r="B75" s="16" t="n">
        <v>8</v>
      </c>
      <c r="C75" s="16" t="s">
        <v>43</v>
      </c>
      <c r="D75" s="16" t="s">
        <v>44</v>
      </c>
      <c r="E75" s="16" t="n">
        <v>7</v>
      </c>
      <c r="F75" s="16" t="n">
        <v>6</v>
      </c>
      <c r="G75" s="17" t="n">
        <v>1633.3</v>
      </c>
      <c r="H75" s="24" t="s">
        <v>54</v>
      </c>
      <c r="I75" s="17" t="n">
        <v>1663.9</v>
      </c>
      <c r="J75" s="19" t="n">
        <f aca="false">G75-I75</f>
        <v>-30.6000000000001</v>
      </c>
      <c r="K75" s="20" t="n">
        <f aca="false">G75^2.37/(G75^2.37+I75^2.37)</f>
        <v>0.489003944478138</v>
      </c>
      <c r="L75" s="21" t="n">
        <f aca="false">(E75/(E75+F75))-K75</f>
        <v>0.0494575939834001</v>
      </c>
      <c r="M75" s="15" t="n">
        <f aca="false">IF(B75=_xlfn.MAXIFS($B$2:$B$163,$A$2:$A$163,A75),1,0)</f>
        <v>0</v>
      </c>
    </row>
    <row r="76" customFormat="false" ht="15" hidden="false" customHeight="false" outlineLevel="0" collapsed="false">
      <c r="A76" s="9" t="n">
        <v>2018</v>
      </c>
      <c r="B76" s="9" t="n">
        <v>9</v>
      </c>
      <c r="C76" s="9" t="s">
        <v>59</v>
      </c>
      <c r="D76" s="9" t="s">
        <v>60</v>
      </c>
      <c r="E76" s="9" t="n">
        <v>5</v>
      </c>
      <c r="F76" s="9" t="n">
        <v>8</v>
      </c>
      <c r="G76" s="10" t="n">
        <v>1580.4</v>
      </c>
      <c r="H76" s="24" t="s">
        <v>54</v>
      </c>
      <c r="I76" s="10" t="n">
        <v>1655.2</v>
      </c>
      <c r="J76" s="12" t="n">
        <f aca="false">G76-I76</f>
        <v>-74.8</v>
      </c>
      <c r="K76" s="13" t="n">
        <f aca="false">G76^2.37/(G76^2.37+I76^2.37)</f>
        <v>0.472627901608124</v>
      </c>
      <c r="L76" s="14" t="n">
        <f aca="false">(E76/(E76+F76))-K76</f>
        <v>-0.0880125169927394</v>
      </c>
      <c r="M76" s="15" t="n">
        <f aca="false">IF(B76=_xlfn.MAXIFS($B$2:$B$163,$A$2:$A$163,A76),1,0)</f>
        <v>0</v>
      </c>
    </row>
    <row r="77" customFormat="false" ht="15" hidden="false" customHeight="false" outlineLevel="0" collapsed="false">
      <c r="A77" s="16" t="n">
        <v>2018</v>
      </c>
      <c r="B77" s="16" t="n">
        <v>10</v>
      </c>
      <c r="C77" s="16" t="s">
        <v>46</v>
      </c>
      <c r="D77" s="16" t="s">
        <v>47</v>
      </c>
      <c r="E77" s="16" t="n">
        <v>5</v>
      </c>
      <c r="F77" s="16" t="n">
        <v>8</v>
      </c>
      <c r="G77" s="17" t="n">
        <v>1409.5</v>
      </c>
      <c r="H77" s="24" t="s">
        <v>54</v>
      </c>
      <c r="I77" s="17" t="n">
        <v>1650.7</v>
      </c>
      <c r="J77" s="19" t="n">
        <f aca="false">G77-I77</f>
        <v>-241.2</v>
      </c>
      <c r="K77" s="20" t="n">
        <f aca="false">G77^2.37/(G77^2.37+I77^2.37)</f>
        <v>0.407484135183499</v>
      </c>
      <c r="L77" s="21" t="n">
        <f aca="false">(E77/(E77+F77))-K77</f>
        <v>-0.0228687505681143</v>
      </c>
      <c r="M77" s="15" t="n">
        <f aca="false">IF(B77=_xlfn.MAXIFS($B$2:$B$163,$A$2:$A$163,A77),1,0)</f>
        <v>0</v>
      </c>
    </row>
    <row r="78" customFormat="false" ht="15" hidden="false" customHeight="false" outlineLevel="0" collapsed="false">
      <c r="A78" s="9" t="n">
        <v>2018</v>
      </c>
      <c r="B78" s="9" t="n">
        <v>11</v>
      </c>
      <c r="C78" s="9" t="s">
        <v>65</v>
      </c>
      <c r="D78" s="9" t="s">
        <v>66</v>
      </c>
      <c r="E78" s="9" t="n">
        <v>3</v>
      </c>
      <c r="F78" s="9" t="n">
        <v>10</v>
      </c>
      <c r="G78" s="10" t="n">
        <v>1478.2</v>
      </c>
      <c r="H78" s="24" t="s">
        <v>54</v>
      </c>
      <c r="I78" s="10" t="n">
        <v>1691.6</v>
      </c>
      <c r="J78" s="12" t="n">
        <f aca="false">G78-I78</f>
        <v>-213.4</v>
      </c>
      <c r="K78" s="13" t="n">
        <f aca="false">G78^2.37/(G78^2.37+I78^2.37)</f>
        <v>0.420774750518539</v>
      </c>
      <c r="L78" s="14" t="n">
        <f aca="false">(E78/(E78+F78))-K78</f>
        <v>-0.190005519749308</v>
      </c>
      <c r="M78" s="15" t="n">
        <f aca="false">IF(B78=_xlfn.MAXIFS($B$2:$B$163,$A$2:$A$163,A78),1,0)</f>
        <v>0</v>
      </c>
    </row>
    <row r="79" customFormat="false" ht="15" hidden="false" customHeight="false" outlineLevel="0" collapsed="false">
      <c r="A79" s="16" t="n">
        <v>2018</v>
      </c>
      <c r="B79" s="16" t="n">
        <v>12</v>
      </c>
      <c r="C79" s="16" t="s">
        <v>57</v>
      </c>
      <c r="D79" s="16" t="s">
        <v>58</v>
      </c>
      <c r="E79" s="16" t="n">
        <v>1</v>
      </c>
      <c r="F79" s="16" t="n">
        <v>12</v>
      </c>
      <c r="G79" s="17" t="n">
        <v>1348</v>
      </c>
      <c r="H79" s="24" t="s">
        <v>54</v>
      </c>
      <c r="I79" s="17" t="n">
        <v>1743.5</v>
      </c>
      <c r="J79" s="19" t="n">
        <f aca="false">G79-I79</f>
        <v>-395.5</v>
      </c>
      <c r="K79" s="20" t="n">
        <f aca="false">G79^2.37/(G79^2.37+I79^2.37)</f>
        <v>0.352119421805594</v>
      </c>
      <c r="L79" s="21" t="n">
        <f aca="false">(E79/(E79+F79))-K79</f>
        <v>-0.275196344882517</v>
      </c>
      <c r="M79" s="15" t="n">
        <f aca="false">IF(B79=_xlfn.MAXIFS($B$2:$B$163,$A$2:$A$163,A79),1,0)</f>
        <v>1</v>
      </c>
    </row>
    <row r="80" customFormat="false" ht="15" hidden="false" customHeight="false" outlineLevel="0" collapsed="false">
      <c r="A80" s="9" t="n">
        <v>2019</v>
      </c>
      <c r="B80" s="9" t="n">
        <v>1</v>
      </c>
      <c r="C80" s="9" t="s">
        <v>46</v>
      </c>
      <c r="D80" s="9" t="s">
        <v>70</v>
      </c>
      <c r="E80" s="9" t="n">
        <v>8</v>
      </c>
      <c r="F80" s="9" t="n">
        <v>5</v>
      </c>
      <c r="G80" s="10" t="n">
        <v>1674.6</v>
      </c>
      <c r="H80" s="11" t="s">
        <v>42</v>
      </c>
      <c r="I80" s="10" t="n">
        <v>1528.48</v>
      </c>
      <c r="J80" s="12" t="n">
        <f aca="false">G80-I80</f>
        <v>146.12</v>
      </c>
      <c r="K80" s="13" t="n">
        <f aca="false">G80^2.37/(G80^2.37+I80^2.37)</f>
        <v>0.553885492597534</v>
      </c>
      <c r="L80" s="14" t="n">
        <f aca="false">(E80/(E80+F80))-K80</f>
        <v>0.0614991227870813</v>
      </c>
      <c r="M80" s="15" t="n">
        <f aca="false">IF(B80=_xlfn.MAXIFS($B$2:$B$163,$A$2:$A$163,A80),1,0)</f>
        <v>0</v>
      </c>
    </row>
    <row r="81" customFormat="false" ht="15" hidden="false" customHeight="false" outlineLevel="0" collapsed="false">
      <c r="A81" s="16" t="n">
        <v>2019</v>
      </c>
      <c r="B81" s="16" t="n">
        <v>2</v>
      </c>
      <c r="C81" s="16" t="s">
        <v>65</v>
      </c>
      <c r="D81" s="16" t="s">
        <v>71</v>
      </c>
      <c r="E81" s="16" t="n">
        <v>8</v>
      </c>
      <c r="F81" s="16" t="n">
        <v>5</v>
      </c>
      <c r="G81" s="17" t="n">
        <v>1605.9</v>
      </c>
      <c r="H81" s="23" t="s">
        <v>51</v>
      </c>
      <c r="I81" s="17" t="n">
        <v>1493.04</v>
      </c>
      <c r="J81" s="19" t="n">
        <f aca="false">G81-I81</f>
        <v>112.86</v>
      </c>
      <c r="K81" s="20" t="n">
        <f aca="false">G81^2.37/(G81^2.37+I81^2.37)</f>
        <v>0.543068503529769</v>
      </c>
      <c r="L81" s="21" t="n">
        <f aca="false">(E81/(E81+F81))-K81</f>
        <v>0.0723161118548469</v>
      </c>
      <c r="M81" s="15" t="n">
        <f aca="false">IF(B81=_xlfn.MAXIFS($B$2:$B$163,$A$2:$A$163,A81),1,0)</f>
        <v>0</v>
      </c>
    </row>
    <row r="82" customFormat="false" ht="15" hidden="false" customHeight="false" outlineLevel="0" collapsed="false">
      <c r="A82" s="9" t="n">
        <v>2019</v>
      </c>
      <c r="B82" s="9" t="n">
        <v>3</v>
      </c>
      <c r="C82" s="9" t="s">
        <v>63</v>
      </c>
      <c r="D82" s="9" t="s">
        <v>72</v>
      </c>
      <c r="E82" s="9" t="n">
        <v>8</v>
      </c>
      <c r="F82" s="9" t="n">
        <v>5</v>
      </c>
      <c r="G82" s="10" t="n">
        <v>1601.52</v>
      </c>
      <c r="H82" s="18" t="s">
        <v>45</v>
      </c>
      <c r="I82" s="10" t="n">
        <v>1620.88</v>
      </c>
      <c r="J82" s="12" t="n">
        <f aca="false">G82-I82</f>
        <v>-19.3600000000001</v>
      </c>
      <c r="K82" s="13" t="n">
        <f aca="false">G82^2.37/(G82^2.37+I82^2.37)</f>
        <v>0.492880981355886</v>
      </c>
      <c r="L82" s="14" t="n">
        <f aca="false">(E82/(E82+F82))-K82</f>
        <v>0.122503634028729</v>
      </c>
      <c r="M82" s="15" t="n">
        <f aca="false">IF(B82=_xlfn.MAXIFS($B$2:$B$163,$A$2:$A$163,A82),1,0)</f>
        <v>0</v>
      </c>
    </row>
    <row r="83" customFormat="false" ht="15" hidden="false" customHeight="false" outlineLevel="0" collapsed="false">
      <c r="A83" s="16" t="n">
        <v>2019</v>
      </c>
      <c r="B83" s="16" t="n">
        <v>4</v>
      </c>
      <c r="C83" s="16" t="s">
        <v>43</v>
      </c>
      <c r="D83" s="16" t="s">
        <v>73</v>
      </c>
      <c r="E83" s="16" t="n">
        <v>8</v>
      </c>
      <c r="F83" s="16" t="n">
        <v>5</v>
      </c>
      <c r="G83" s="17" t="n">
        <v>1576.6</v>
      </c>
      <c r="H83" s="25" t="s">
        <v>67</v>
      </c>
      <c r="I83" s="17" t="n">
        <v>1505.14</v>
      </c>
      <c r="J83" s="19" t="n">
        <f aca="false">G83-I83</f>
        <v>71.4599999999998</v>
      </c>
      <c r="K83" s="20" t="n">
        <f aca="false">G83^2.37/(G83^2.37+I83^2.37)</f>
        <v>0.527455297972991</v>
      </c>
      <c r="L83" s="21" t="n">
        <f aca="false">(E83/(E83+F83))-K83</f>
        <v>0.0879293174116247</v>
      </c>
      <c r="M83" s="15" t="n">
        <f aca="false">IF(B83=_xlfn.MAXIFS($B$2:$B$163,$A$2:$A$163,A83),1,0)</f>
        <v>0</v>
      </c>
    </row>
    <row r="84" customFormat="false" ht="15" hidden="false" customHeight="false" outlineLevel="0" collapsed="false">
      <c r="A84" s="9" t="n">
        <v>2019</v>
      </c>
      <c r="B84" s="9" t="n">
        <v>5</v>
      </c>
      <c r="C84" s="9" t="s">
        <v>55</v>
      </c>
      <c r="D84" s="9" t="s">
        <v>74</v>
      </c>
      <c r="E84" s="9" t="n">
        <v>8</v>
      </c>
      <c r="F84" s="9" t="n">
        <v>5</v>
      </c>
      <c r="G84" s="10" t="n">
        <v>1564.94</v>
      </c>
      <c r="H84" s="22" t="s">
        <v>48</v>
      </c>
      <c r="I84" s="10" t="n">
        <v>1510.7</v>
      </c>
      <c r="J84" s="12" t="n">
        <f aca="false">G84-I84</f>
        <v>54.24</v>
      </c>
      <c r="K84" s="13" t="n">
        <f aca="false">G84^2.37/(G84^2.37+I84^2.37)</f>
        <v>0.520887897236795</v>
      </c>
      <c r="L84" s="14" t="n">
        <f aca="false">(E84/(E84+F84))-K84</f>
        <v>0.0944967181478209</v>
      </c>
      <c r="M84" s="15" t="n">
        <f aca="false">IF(B84=_xlfn.MAXIFS($B$2:$B$163,$A$2:$A$163,A84),1,0)</f>
        <v>0</v>
      </c>
    </row>
    <row r="85" customFormat="false" ht="15" hidden="false" customHeight="false" outlineLevel="0" collapsed="false">
      <c r="A85" s="16" t="n">
        <v>2019</v>
      </c>
      <c r="B85" s="16" t="n">
        <v>6</v>
      </c>
      <c r="C85" s="16" t="s">
        <v>49</v>
      </c>
      <c r="D85" s="16" t="s">
        <v>50</v>
      </c>
      <c r="E85" s="16" t="n">
        <v>7</v>
      </c>
      <c r="F85" s="16" t="n">
        <v>6</v>
      </c>
      <c r="G85" s="17" t="n">
        <v>1736.5</v>
      </c>
      <c r="H85" s="25" t="s">
        <v>67</v>
      </c>
      <c r="I85" s="17" t="n">
        <v>1563.84</v>
      </c>
      <c r="J85" s="19" t="n">
        <f aca="false">G85-I85</f>
        <v>172.66</v>
      </c>
      <c r="K85" s="20" t="n">
        <f aca="false">G85^2.37/(G85^2.37+I85^2.37)</f>
        <v>0.561734296766099</v>
      </c>
      <c r="L85" s="21" t="n">
        <f aca="false">(E85/(E85+F85))-K85</f>
        <v>-0.0232727583045605</v>
      </c>
      <c r="M85" s="15" t="n">
        <f aca="false">IF(B85=_xlfn.MAXIFS($B$2:$B$163,$A$2:$A$163,A85),1,0)</f>
        <v>0</v>
      </c>
    </row>
    <row r="86" customFormat="false" ht="15" hidden="false" customHeight="false" outlineLevel="0" collapsed="false">
      <c r="A86" s="9" t="n">
        <v>2019</v>
      </c>
      <c r="B86" s="9" t="n">
        <v>7</v>
      </c>
      <c r="C86" s="9" t="s">
        <v>57</v>
      </c>
      <c r="D86" s="9" t="s">
        <v>75</v>
      </c>
      <c r="E86" s="9" t="n">
        <v>7</v>
      </c>
      <c r="F86" s="9" t="n">
        <v>6</v>
      </c>
      <c r="G86" s="10" t="n">
        <v>1492.96</v>
      </c>
      <c r="H86" s="24" t="s">
        <v>54</v>
      </c>
      <c r="I86" s="10" t="n">
        <v>1484.04</v>
      </c>
      <c r="J86" s="12" t="n">
        <f aca="false">G86-I86</f>
        <v>8.92000000000007</v>
      </c>
      <c r="K86" s="13" t="n">
        <f aca="false">G86^2.37/(G86^2.37+I86^2.37)</f>
        <v>0.503550572374172</v>
      </c>
      <c r="L86" s="14" t="n">
        <f aca="false">(E86/(E86+F86))-K86</f>
        <v>0.0349109660873662</v>
      </c>
      <c r="M86" s="15" t="n">
        <f aca="false">IF(B86=_xlfn.MAXIFS($B$2:$B$163,$A$2:$A$163,A86),1,0)</f>
        <v>0</v>
      </c>
    </row>
    <row r="87" customFormat="false" ht="15" hidden="false" customHeight="false" outlineLevel="0" collapsed="false">
      <c r="A87" s="16" t="n">
        <v>2019</v>
      </c>
      <c r="B87" s="16" t="n">
        <v>8</v>
      </c>
      <c r="C87" s="16" t="s">
        <v>40</v>
      </c>
      <c r="D87" s="16" t="s">
        <v>76</v>
      </c>
      <c r="E87" s="16" t="n">
        <v>6</v>
      </c>
      <c r="F87" s="16" t="n">
        <v>7</v>
      </c>
      <c r="G87" s="17" t="n">
        <v>1420.06</v>
      </c>
      <c r="H87" s="24" t="s">
        <v>54</v>
      </c>
      <c r="I87" s="17" t="n">
        <v>1559.24</v>
      </c>
      <c r="J87" s="19" t="n">
        <f aca="false">G87-I87</f>
        <v>-139.18</v>
      </c>
      <c r="K87" s="20" t="n">
        <f aca="false">G87^2.37/(G87^2.37+I87^2.37)</f>
        <v>0.444827187475302</v>
      </c>
      <c r="L87" s="21" t="n">
        <f aca="false">(E87/(E87+F87))-K87</f>
        <v>0.0167112740631595</v>
      </c>
      <c r="M87" s="15" t="n">
        <f aca="false">IF(B87=_xlfn.MAXIFS($B$2:$B$163,$A$2:$A$163,A87),1,0)</f>
        <v>0</v>
      </c>
    </row>
    <row r="88" customFormat="false" ht="15" hidden="false" customHeight="false" outlineLevel="0" collapsed="false">
      <c r="A88" s="9" t="n">
        <v>2019</v>
      </c>
      <c r="B88" s="9" t="n">
        <v>9</v>
      </c>
      <c r="C88" s="9" t="s">
        <v>68</v>
      </c>
      <c r="D88" s="9" t="s">
        <v>68</v>
      </c>
      <c r="E88" s="9" t="n">
        <v>5</v>
      </c>
      <c r="F88" s="9" t="n">
        <v>8</v>
      </c>
      <c r="G88" s="10" t="n">
        <v>1533.52</v>
      </c>
      <c r="H88" s="24" t="s">
        <v>54</v>
      </c>
      <c r="I88" s="10" t="n">
        <v>1672.38</v>
      </c>
      <c r="J88" s="12" t="n">
        <f aca="false">G88-I88</f>
        <v>-138.86</v>
      </c>
      <c r="K88" s="13" t="n">
        <f aca="false">G88^2.37/(G88^2.37+I88^2.37)</f>
        <v>0.448820777388565</v>
      </c>
      <c r="L88" s="14" t="n">
        <f aca="false">(E88/(E88+F88))-K88</f>
        <v>-0.0642053927731801</v>
      </c>
      <c r="M88" s="15" t="n">
        <f aca="false">IF(B88=_xlfn.MAXIFS($B$2:$B$163,$A$2:$A$163,A88),1,0)</f>
        <v>0</v>
      </c>
    </row>
    <row r="89" customFormat="false" ht="15" hidden="false" customHeight="false" outlineLevel="0" collapsed="false">
      <c r="A89" s="16" t="n">
        <v>2019</v>
      </c>
      <c r="B89" s="16" t="n">
        <v>10</v>
      </c>
      <c r="C89" s="16" t="s">
        <v>61</v>
      </c>
      <c r="D89" s="16" t="s">
        <v>77</v>
      </c>
      <c r="E89" s="16" t="n">
        <v>5</v>
      </c>
      <c r="F89" s="16" t="n">
        <v>8</v>
      </c>
      <c r="G89" s="17" t="n">
        <v>1517.8</v>
      </c>
      <c r="H89" s="24" t="s">
        <v>54</v>
      </c>
      <c r="I89" s="17" t="n">
        <v>1509.82</v>
      </c>
      <c r="J89" s="19" t="n">
        <f aca="false">G89-I89</f>
        <v>7.98000000000002</v>
      </c>
      <c r="K89" s="20" t="n">
        <f aca="false">G89^2.37/(G89^2.37+I89^2.37)</f>
        <v>0.503123311016775</v>
      </c>
      <c r="L89" s="21" t="n">
        <f aca="false">(E89/(E89+F89))-K89</f>
        <v>-0.118507926401391</v>
      </c>
      <c r="M89" s="15" t="n">
        <f aca="false">IF(B89=_xlfn.MAXIFS($B$2:$B$163,$A$2:$A$163,A89),1,0)</f>
        <v>0</v>
      </c>
    </row>
    <row r="90" customFormat="false" ht="15" hidden="false" customHeight="false" outlineLevel="0" collapsed="false">
      <c r="A90" s="9" t="n">
        <v>2019</v>
      </c>
      <c r="B90" s="9" t="n">
        <v>11</v>
      </c>
      <c r="C90" s="9" t="s">
        <v>52</v>
      </c>
      <c r="D90" s="9" t="s">
        <v>52</v>
      </c>
      <c r="E90" s="9" t="n">
        <v>5</v>
      </c>
      <c r="F90" s="9" t="n">
        <v>8</v>
      </c>
      <c r="G90" s="10" t="n">
        <v>1468.7</v>
      </c>
      <c r="H90" s="24" t="s">
        <v>54</v>
      </c>
      <c r="I90" s="10" t="n">
        <v>1620.96</v>
      </c>
      <c r="J90" s="12" t="n">
        <f aca="false">G90-I90</f>
        <v>-152.26</v>
      </c>
      <c r="K90" s="13" t="n">
        <f aca="false">G90^2.37/(G90^2.37+I90^2.37)</f>
        <v>0.4418199935144</v>
      </c>
      <c r="L90" s="14" t="n">
        <f aca="false">(E90/(E90+F90))-K90</f>
        <v>-0.0572046088990156</v>
      </c>
      <c r="M90" s="15" t="n">
        <f aca="false">IF(B90=_xlfn.MAXIFS($B$2:$B$163,$A$2:$A$163,A90),1,0)</f>
        <v>0</v>
      </c>
    </row>
    <row r="91" customFormat="false" ht="15" hidden="false" customHeight="false" outlineLevel="0" collapsed="false">
      <c r="A91" s="16" t="n">
        <v>2019</v>
      </c>
      <c r="B91" s="16" t="n">
        <v>12</v>
      </c>
      <c r="C91" s="16" t="s">
        <v>59</v>
      </c>
      <c r="D91" s="16" t="s">
        <v>78</v>
      </c>
      <c r="E91" s="16" t="n">
        <v>3</v>
      </c>
      <c r="F91" s="16" t="n">
        <v>10</v>
      </c>
      <c r="G91" s="17" t="n">
        <v>1457.46</v>
      </c>
      <c r="H91" s="24" t="s">
        <v>54</v>
      </c>
      <c r="I91" s="17" t="n">
        <v>1582.04</v>
      </c>
      <c r="J91" s="19" t="n">
        <f aca="false">G91-I91</f>
        <v>-124.58</v>
      </c>
      <c r="K91" s="20" t="n">
        <f aca="false">G91^2.37/(G91^2.37+I91^2.37)</f>
        <v>0.451555623367847</v>
      </c>
      <c r="L91" s="21" t="n">
        <f aca="false">(E91/(E91+F91))-K91</f>
        <v>-0.220786392598616</v>
      </c>
      <c r="M91" s="15" t="n">
        <f aca="false">IF(B91=_xlfn.MAXIFS($B$2:$B$163,$A$2:$A$163,A91),1,0)</f>
        <v>1</v>
      </c>
    </row>
    <row r="92" customFormat="false" ht="15" hidden="false" customHeight="false" outlineLevel="0" collapsed="false">
      <c r="A92" s="9" t="n">
        <v>2020</v>
      </c>
      <c r="B92" s="9" t="n">
        <v>1</v>
      </c>
      <c r="C92" s="9" t="s">
        <v>49</v>
      </c>
      <c r="D92" s="9" t="s">
        <v>79</v>
      </c>
      <c r="E92" s="9" t="n">
        <v>12</v>
      </c>
      <c r="F92" s="9" t="n">
        <v>1</v>
      </c>
      <c r="G92" s="10" t="n">
        <v>1821.16</v>
      </c>
      <c r="H92" s="11" t="s">
        <v>42</v>
      </c>
      <c r="I92" s="10" t="n">
        <v>1404.32</v>
      </c>
      <c r="J92" s="12" t="n">
        <f aca="false">G92-I92</f>
        <v>416.84</v>
      </c>
      <c r="K92" s="13" t="n">
        <f aca="false">G92^2.37/(G92^2.37+I92^2.37)</f>
        <v>0.649310882116769</v>
      </c>
      <c r="L92" s="14" t="n">
        <f aca="false">(E92/(E92+F92))-K92</f>
        <v>0.273766040960154</v>
      </c>
      <c r="M92" s="15" t="n">
        <f aca="false">IF(B92=_xlfn.MAXIFS($B$2:$B$163,$A$2:$A$163,A92),1,0)</f>
        <v>0</v>
      </c>
    </row>
    <row r="93" customFormat="false" ht="15" hidden="false" customHeight="false" outlineLevel="0" collapsed="false">
      <c r="A93" s="16" t="n">
        <v>2020</v>
      </c>
      <c r="B93" s="16" t="n">
        <v>2</v>
      </c>
      <c r="C93" s="16" t="s">
        <v>68</v>
      </c>
      <c r="D93" s="16" t="s">
        <v>80</v>
      </c>
      <c r="E93" s="16" t="n">
        <v>8</v>
      </c>
      <c r="F93" s="16" t="n">
        <v>5</v>
      </c>
      <c r="G93" s="17" t="n">
        <v>1616.82</v>
      </c>
      <c r="H93" s="22" t="s">
        <v>48</v>
      </c>
      <c r="I93" s="17" t="n">
        <v>1558.16</v>
      </c>
      <c r="J93" s="19" t="n">
        <f aca="false">G93-I93</f>
        <v>58.6599999999999</v>
      </c>
      <c r="K93" s="20" t="n">
        <f aca="false">G93^2.37/(G93^2.37+I93^2.37)</f>
        <v>0.521882217776574</v>
      </c>
      <c r="L93" s="21" t="n">
        <f aca="false">(E93/(E93+F93))-K93</f>
        <v>0.0935023976080417</v>
      </c>
      <c r="M93" s="15" t="n">
        <f aca="false">IF(B93=_xlfn.MAXIFS($B$2:$B$163,$A$2:$A$163,A93),1,0)</f>
        <v>0</v>
      </c>
    </row>
    <row r="94" customFormat="false" ht="15" hidden="false" customHeight="false" outlineLevel="0" collapsed="false">
      <c r="A94" s="9" t="n">
        <v>2020</v>
      </c>
      <c r="B94" s="9" t="n">
        <v>3</v>
      </c>
      <c r="C94" s="9" t="s">
        <v>63</v>
      </c>
      <c r="D94" s="9" t="s">
        <v>81</v>
      </c>
      <c r="E94" s="9" t="n">
        <v>8</v>
      </c>
      <c r="F94" s="9" t="n">
        <v>5</v>
      </c>
      <c r="G94" s="10" t="n">
        <v>1423.94</v>
      </c>
      <c r="H94" s="18" t="s">
        <v>45</v>
      </c>
      <c r="I94" s="10" t="n">
        <v>1467.6</v>
      </c>
      <c r="J94" s="12" t="n">
        <f aca="false">G94-I94</f>
        <v>-43.6599999999999</v>
      </c>
      <c r="K94" s="13" t="n">
        <f aca="false">G94^2.37/(G94^2.37+I94^2.37)</f>
        <v>0.482113699222727</v>
      </c>
      <c r="L94" s="14" t="n">
        <f aca="false">(E94/(E94+F94))-K94</f>
        <v>0.133270916161888</v>
      </c>
      <c r="M94" s="15" t="n">
        <f aca="false">IF(B94=_xlfn.MAXIFS($B$2:$B$163,$A$2:$A$163,A94),1,0)</f>
        <v>0</v>
      </c>
    </row>
    <row r="95" customFormat="false" ht="15" hidden="false" customHeight="false" outlineLevel="0" collapsed="false">
      <c r="A95" s="16" t="n">
        <v>2020</v>
      </c>
      <c r="B95" s="16" t="n">
        <v>4</v>
      </c>
      <c r="C95" s="16" t="s">
        <v>43</v>
      </c>
      <c r="D95" s="16" t="s">
        <v>82</v>
      </c>
      <c r="E95" s="16" t="n">
        <v>7</v>
      </c>
      <c r="F95" s="16" t="n">
        <v>6</v>
      </c>
      <c r="G95" s="17" t="n">
        <v>1632.24</v>
      </c>
      <c r="H95" s="25" t="s">
        <v>67</v>
      </c>
      <c r="I95" s="17" t="n">
        <v>1473.16</v>
      </c>
      <c r="J95" s="19" t="n">
        <f aca="false">G95-I95</f>
        <v>159.08</v>
      </c>
      <c r="K95" s="20" t="n">
        <f aca="false">G95^2.37/(G95^2.37+I95^2.37)</f>
        <v>0.560459770042201</v>
      </c>
      <c r="L95" s="21" t="n">
        <f aca="false">(E95/(E95+F95))-K95</f>
        <v>-0.0219982315806628</v>
      </c>
      <c r="M95" s="15" t="n">
        <f aca="false">IF(B95=_xlfn.MAXIFS($B$2:$B$163,$A$2:$A$163,A95),1,0)</f>
        <v>0</v>
      </c>
    </row>
    <row r="96" customFormat="false" ht="15" hidden="false" customHeight="false" outlineLevel="0" collapsed="false">
      <c r="A96" s="9" t="n">
        <v>2020</v>
      </c>
      <c r="B96" s="9" t="n">
        <v>5</v>
      </c>
      <c r="C96" s="9" t="s">
        <v>61</v>
      </c>
      <c r="D96" s="9" t="s">
        <v>83</v>
      </c>
      <c r="E96" s="9" t="n">
        <v>7</v>
      </c>
      <c r="F96" s="9" t="n">
        <v>6</v>
      </c>
      <c r="G96" s="10" t="n">
        <v>1601.48</v>
      </c>
      <c r="H96" s="23" t="s">
        <v>51</v>
      </c>
      <c r="I96" s="10" t="n">
        <v>1551.86</v>
      </c>
      <c r="J96" s="12" t="n">
        <f aca="false">G96-I96</f>
        <v>49.6200000000001</v>
      </c>
      <c r="K96" s="13" t="n">
        <f aca="false">G96^2.37/(G96^2.37+I96^2.37)</f>
        <v>0.518639697120573</v>
      </c>
      <c r="L96" s="14" t="n">
        <f aca="false">(E96/(E96+F96))-K96</f>
        <v>0.019821841340966</v>
      </c>
      <c r="M96" s="15" t="n">
        <f aca="false">IF(B96=_xlfn.MAXIFS($B$2:$B$163,$A$2:$A$163,A96),1,0)</f>
        <v>0</v>
      </c>
    </row>
    <row r="97" customFormat="false" ht="15" hidden="false" customHeight="false" outlineLevel="0" collapsed="false">
      <c r="A97" s="16" t="n">
        <v>2020</v>
      </c>
      <c r="B97" s="16" t="n">
        <v>6</v>
      </c>
      <c r="C97" s="16" t="s">
        <v>46</v>
      </c>
      <c r="D97" s="16" t="s">
        <v>84</v>
      </c>
      <c r="E97" s="16" t="n">
        <v>7</v>
      </c>
      <c r="F97" s="16" t="n">
        <v>6</v>
      </c>
      <c r="G97" s="17" t="n">
        <v>1556.42</v>
      </c>
      <c r="H97" s="25" t="s">
        <v>67</v>
      </c>
      <c r="I97" s="17" t="n">
        <v>1685.12</v>
      </c>
      <c r="J97" s="19" t="n">
        <f aca="false">G97-I97</f>
        <v>-128.7</v>
      </c>
      <c r="K97" s="20" t="n">
        <f aca="false">G97^2.37/(G97^2.37+I97^2.37)</f>
        <v>0.453065371370092</v>
      </c>
      <c r="L97" s="21" t="n">
        <f aca="false">(E97/(E97+F97))-K97</f>
        <v>0.0853961670914464</v>
      </c>
      <c r="M97" s="15" t="n">
        <f aca="false">IF(B97=_xlfn.MAXIFS($B$2:$B$163,$A$2:$A$163,A97),1,0)</f>
        <v>0</v>
      </c>
    </row>
    <row r="98" customFormat="false" ht="15" hidden="false" customHeight="false" outlineLevel="0" collapsed="false">
      <c r="A98" s="9" t="n">
        <v>2020</v>
      </c>
      <c r="B98" s="9" t="n">
        <v>7</v>
      </c>
      <c r="C98" s="9" t="s">
        <v>55</v>
      </c>
      <c r="D98" s="9" t="s">
        <v>85</v>
      </c>
      <c r="E98" s="9" t="n">
        <v>6</v>
      </c>
      <c r="F98" s="9" t="n">
        <v>7</v>
      </c>
      <c r="G98" s="10" t="n">
        <v>1563.24</v>
      </c>
      <c r="H98" s="24" t="s">
        <v>54</v>
      </c>
      <c r="I98" s="10" t="n">
        <v>1583.2</v>
      </c>
      <c r="J98" s="12" t="n">
        <f aca="false">G98-I98</f>
        <v>-19.96</v>
      </c>
      <c r="K98" s="13" t="n">
        <f aca="false">G98^2.37/(G98^2.37+I98^2.37)</f>
        <v>0.492483207924888</v>
      </c>
      <c r="L98" s="14" t="n">
        <f aca="false">(E98/(E98+F98))-K98</f>
        <v>-0.0309447463864265</v>
      </c>
      <c r="M98" s="15" t="n">
        <f aca="false">IF(B98=_xlfn.MAXIFS($B$2:$B$163,$A$2:$A$163,A98),1,0)</f>
        <v>0</v>
      </c>
    </row>
    <row r="99" customFormat="false" ht="15" hidden="false" customHeight="false" outlineLevel="0" collapsed="false">
      <c r="A99" s="16" t="n">
        <v>2020</v>
      </c>
      <c r="B99" s="16" t="n">
        <v>8</v>
      </c>
      <c r="C99" s="16" t="s">
        <v>59</v>
      </c>
      <c r="D99" s="16" t="s">
        <v>86</v>
      </c>
      <c r="E99" s="16" t="n">
        <v>6</v>
      </c>
      <c r="F99" s="16" t="n">
        <v>7</v>
      </c>
      <c r="G99" s="17" t="n">
        <v>1498.94</v>
      </c>
      <c r="H99" s="24" t="s">
        <v>54</v>
      </c>
      <c r="I99" s="17" t="n">
        <v>1588.46</v>
      </c>
      <c r="J99" s="19" t="n">
        <f aca="false">G99-I99</f>
        <v>-89.52</v>
      </c>
      <c r="K99" s="20" t="n">
        <f aca="false">G99^2.37/(G99^2.37+I99^2.37)</f>
        <v>0.465684998148074</v>
      </c>
      <c r="L99" s="21" t="n">
        <f aca="false">(E99/(E99+F99))-K99</f>
        <v>-0.00414653660961212</v>
      </c>
      <c r="M99" s="15" t="n">
        <f aca="false">IF(B99=_xlfn.MAXIFS($B$2:$B$163,$A$2:$A$163,A99),1,0)</f>
        <v>0</v>
      </c>
    </row>
    <row r="100" customFormat="false" ht="15" hidden="false" customHeight="false" outlineLevel="0" collapsed="false">
      <c r="A100" s="9" t="n">
        <v>2020</v>
      </c>
      <c r="B100" s="9" t="n">
        <v>9</v>
      </c>
      <c r="C100" s="9" t="s">
        <v>52</v>
      </c>
      <c r="D100" s="9" t="s">
        <v>87</v>
      </c>
      <c r="E100" s="9" t="n">
        <v>5</v>
      </c>
      <c r="F100" s="9" t="n">
        <v>8</v>
      </c>
      <c r="G100" s="10" t="n">
        <v>1499.58</v>
      </c>
      <c r="H100" s="24" t="s">
        <v>54</v>
      </c>
      <c r="I100" s="10" t="n">
        <v>1593.2</v>
      </c>
      <c r="J100" s="12" t="n">
        <f aca="false">G100-I100</f>
        <v>-93.6200000000001</v>
      </c>
      <c r="K100" s="13" t="n">
        <f aca="false">G100^2.37/(G100^2.37+I100^2.37)</f>
        <v>0.464179963345041</v>
      </c>
      <c r="L100" s="14" t="n">
        <f aca="false">(E100/(E100+F100))-K100</f>
        <v>-0.0795645787296564</v>
      </c>
      <c r="M100" s="15" t="n">
        <f aca="false">IF(B100=_xlfn.MAXIFS($B$2:$B$163,$A$2:$A$163,A100),1,0)</f>
        <v>0</v>
      </c>
    </row>
    <row r="101" customFormat="false" ht="15" hidden="false" customHeight="false" outlineLevel="0" collapsed="false">
      <c r="A101" s="16" t="n">
        <v>2020</v>
      </c>
      <c r="B101" s="16" t="n">
        <v>10</v>
      </c>
      <c r="C101" s="16" t="s">
        <v>57</v>
      </c>
      <c r="D101" s="16" t="s">
        <v>57</v>
      </c>
      <c r="E101" s="16" t="n">
        <v>4</v>
      </c>
      <c r="F101" s="16" t="n">
        <v>9</v>
      </c>
      <c r="G101" s="17" t="n">
        <v>1597.58</v>
      </c>
      <c r="H101" s="24" t="s">
        <v>54</v>
      </c>
      <c r="I101" s="17" t="n">
        <v>1657.54</v>
      </c>
      <c r="J101" s="19" t="n">
        <f aca="false">G101-I101</f>
        <v>-59.96</v>
      </c>
      <c r="K101" s="20" t="n">
        <f aca="false">G101^2.37/(G101^2.37+I101^2.37)</f>
        <v>0.478183440664342</v>
      </c>
      <c r="L101" s="21" t="n">
        <f aca="false">(E101/(E101+F101))-K101</f>
        <v>-0.170491132972034</v>
      </c>
      <c r="M101" s="15" t="n">
        <f aca="false">IF(B101=_xlfn.MAXIFS($B$2:$B$163,$A$2:$A$163,A101),1,0)</f>
        <v>0</v>
      </c>
    </row>
    <row r="102" customFormat="false" ht="15" hidden="false" customHeight="false" outlineLevel="0" collapsed="false">
      <c r="A102" s="9" t="n">
        <v>2020</v>
      </c>
      <c r="B102" s="9" t="n">
        <v>11</v>
      </c>
      <c r="C102" s="9" t="s">
        <v>65</v>
      </c>
      <c r="D102" s="9" t="s">
        <v>88</v>
      </c>
      <c r="E102" s="9" t="n">
        <v>4</v>
      </c>
      <c r="F102" s="9" t="n">
        <v>9</v>
      </c>
      <c r="G102" s="10" t="n">
        <v>1474.54</v>
      </c>
      <c r="H102" s="24" t="s">
        <v>54</v>
      </c>
      <c r="I102" s="10" t="n">
        <v>1577.66</v>
      </c>
      <c r="J102" s="12" t="n">
        <f aca="false">G102-I102</f>
        <v>-103.12</v>
      </c>
      <c r="K102" s="13" t="n">
        <f aca="false">G102^2.37/(G102^2.37+I102^2.37)</f>
        <v>0.460034420041133</v>
      </c>
      <c r="L102" s="14" t="n">
        <f aca="false">(E102/(E102+F102))-K102</f>
        <v>-0.152342112348825</v>
      </c>
      <c r="M102" s="15" t="n">
        <f aca="false">IF(B102=_xlfn.MAXIFS($B$2:$B$163,$A$2:$A$163,A102),1,0)</f>
        <v>0</v>
      </c>
    </row>
    <row r="103" customFormat="false" ht="15" hidden="false" customHeight="false" outlineLevel="0" collapsed="false">
      <c r="A103" s="16" t="n">
        <v>2020</v>
      </c>
      <c r="B103" s="16" t="n">
        <v>12</v>
      </c>
      <c r="C103" s="16" t="s">
        <v>40</v>
      </c>
      <c r="D103" s="16" t="s">
        <v>89</v>
      </c>
      <c r="E103" s="16" t="n">
        <v>4</v>
      </c>
      <c r="F103" s="16" t="n">
        <v>9</v>
      </c>
      <c r="G103" s="17" t="n">
        <v>1462.68</v>
      </c>
      <c r="H103" s="24" t="s">
        <v>54</v>
      </c>
      <c r="I103" s="17" t="n">
        <v>1608.34</v>
      </c>
      <c r="J103" s="19" t="n">
        <f aca="false">G103-I103</f>
        <v>-145.66</v>
      </c>
      <c r="K103" s="20" t="n">
        <f aca="false">G103^2.37/(G103^2.37+I103^2.37)</f>
        <v>0.44398873472239</v>
      </c>
      <c r="L103" s="21" t="n">
        <f aca="false">(E103/(E103+F103))-K103</f>
        <v>-0.136296427030083</v>
      </c>
      <c r="M103" s="15" t="n">
        <f aca="false">IF(B103=_xlfn.MAXIFS($B$2:$B$163,$A$2:$A$163,A103),1,0)</f>
        <v>1</v>
      </c>
    </row>
    <row r="104" customFormat="false" ht="15" hidden="false" customHeight="false" outlineLevel="0" collapsed="false">
      <c r="A104" s="9" t="n">
        <v>2021</v>
      </c>
      <c r="B104" s="9" t="n">
        <v>1</v>
      </c>
      <c r="C104" s="9" t="s">
        <v>61</v>
      </c>
      <c r="D104" s="9" t="s">
        <v>90</v>
      </c>
      <c r="E104" s="9" t="n">
        <v>10</v>
      </c>
      <c r="F104" s="9" t="n">
        <v>4</v>
      </c>
      <c r="G104" s="10" t="n">
        <v>1869.94</v>
      </c>
      <c r="H104" s="22" t="s">
        <v>48</v>
      </c>
      <c r="I104" s="10" t="n">
        <v>1762.98</v>
      </c>
      <c r="J104" s="12" t="n">
        <f aca="false">G104-I104</f>
        <v>106.96</v>
      </c>
      <c r="K104" s="13" t="n">
        <f aca="false">G104^2.37/(G104^2.37+I104^2.37)</f>
        <v>0.534842153959762</v>
      </c>
      <c r="L104" s="14" t="n">
        <f aca="false">(E104/(E104+F104))-K104</f>
        <v>0.179443560325952</v>
      </c>
      <c r="M104" s="15" t="n">
        <f aca="false">IF(B104=_xlfn.MAXIFS($B$2:$B$163,$A$2:$A$163,A104),1,0)</f>
        <v>0</v>
      </c>
    </row>
    <row r="105" customFormat="false" ht="15" hidden="false" customHeight="false" outlineLevel="0" collapsed="false">
      <c r="A105" s="16" t="n">
        <v>2021</v>
      </c>
      <c r="B105" s="16" t="n">
        <v>2</v>
      </c>
      <c r="C105" s="16" t="s">
        <v>65</v>
      </c>
      <c r="D105" s="16" t="s">
        <v>91</v>
      </c>
      <c r="E105" s="16" t="n">
        <v>9</v>
      </c>
      <c r="F105" s="16" t="n">
        <v>5</v>
      </c>
      <c r="G105" s="17" t="n">
        <v>1826.34</v>
      </c>
      <c r="H105" s="18" t="s">
        <v>45</v>
      </c>
      <c r="I105" s="17" t="n">
        <v>1709.46</v>
      </c>
      <c r="J105" s="19" t="n">
        <f aca="false">G105-I105</f>
        <v>116.88</v>
      </c>
      <c r="K105" s="20" t="n">
        <f aca="false">G105^2.37/(G105^2.37+I105^2.37)</f>
        <v>0.539105805154194</v>
      </c>
      <c r="L105" s="21" t="n">
        <f aca="false">(E105/(E105+F105))-K105</f>
        <v>0.103751337702949</v>
      </c>
      <c r="M105" s="15" t="n">
        <f aca="false">IF(B105=_xlfn.MAXIFS($B$2:$B$163,$A$2:$A$163,A105),1,0)</f>
        <v>0</v>
      </c>
    </row>
    <row r="106" customFormat="false" ht="15" hidden="false" customHeight="false" outlineLevel="0" collapsed="false">
      <c r="A106" s="9" t="n">
        <v>2021</v>
      </c>
      <c r="B106" s="9" t="n">
        <v>3</v>
      </c>
      <c r="C106" s="9" t="s">
        <v>40</v>
      </c>
      <c r="D106" s="9" t="s">
        <v>92</v>
      </c>
      <c r="E106" s="9" t="n">
        <v>8</v>
      </c>
      <c r="F106" s="9" t="n">
        <v>6</v>
      </c>
      <c r="G106" s="10" t="n">
        <v>1912.3</v>
      </c>
      <c r="H106" s="23" t="s">
        <v>51</v>
      </c>
      <c r="I106" s="10" t="n">
        <v>1787.78</v>
      </c>
      <c r="J106" s="12" t="n">
        <f aca="false">G106-I106</f>
        <v>124.52</v>
      </c>
      <c r="K106" s="13" t="n">
        <f aca="false">G106^2.37/(G106^2.37+I106^2.37)</f>
        <v>0.539809813712318</v>
      </c>
      <c r="L106" s="14" t="n">
        <f aca="false">(E106/(E106+F106))-K106</f>
        <v>0.0316187577162534</v>
      </c>
      <c r="M106" s="15" t="n">
        <f aca="false">IF(B106=_xlfn.MAXIFS($B$2:$B$163,$A$2:$A$163,A106),1,0)</f>
        <v>0</v>
      </c>
    </row>
    <row r="107" customFormat="false" ht="15" hidden="false" customHeight="false" outlineLevel="0" collapsed="false">
      <c r="A107" s="16" t="n">
        <v>2021</v>
      </c>
      <c r="B107" s="16" t="n">
        <v>4</v>
      </c>
      <c r="C107" s="16" t="s">
        <v>63</v>
      </c>
      <c r="D107" s="16" t="s">
        <v>93</v>
      </c>
      <c r="E107" s="16" t="n">
        <v>8</v>
      </c>
      <c r="F107" s="16" t="n">
        <v>6</v>
      </c>
      <c r="G107" s="17" t="n">
        <v>1781.86</v>
      </c>
      <c r="H107" s="25" t="s">
        <v>67</v>
      </c>
      <c r="I107" s="17" t="n">
        <v>1618.66</v>
      </c>
      <c r="J107" s="19" t="n">
        <f aca="false">G107-I107</f>
        <v>163.2</v>
      </c>
      <c r="K107" s="20" t="n">
        <f aca="false">G107^2.37/(G107^2.37+I107^2.37)</f>
        <v>0.556670472377226</v>
      </c>
      <c r="L107" s="21" t="n">
        <f aca="false">(E107/(E107+F107))-K107</f>
        <v>0.0147580990513455</v>
      </c>
      <c r="M107" s="15" t="n">
        <f aca="false">IF(B107=_xlfn.MAXIFS($B$2:$B$163,$A$2:$A$163,A107),1,0)</f>
        <v>0</v>
      </c>
    </row>
    <row r="108" customFormat="false" ht="15" hidden="false" customHeight="false" outlineLevel="0" collapsed="false">
      <c r="A108" s="9" t="n">
        <v>2021</v>
      </c>
      <c r="B108" s="9" t="n">
        <v>5</v>
      </c>
      <c r="C108" s="9" t="s">
        <v>49</v>
      </c>
      <c r="D108" s="9" t="s">
        <v>49</v>
      </c>
      <c r="E108" s="9" t="n">
        <v>8</v>
      </c>
      <c r="F108" s="9" t="n">
        <v>6</v>
      </c>
      <c r="G108" s="10" t="n">
        <v>1726.24</v>
      </c>
      <c r="H108" s="11" t="s">
        <v>42</v>
      </c>
      <c r="I108" s="10" t="n">
        <v>1634.54</v>
      </c>
      <c r="J108" s="12" t="n">
        <f aca="false">G108-I108</f>
        <v>91.7000000000001</v>
      </c>
      <c r="K108" s="13" t="n">
        <f aca="false">G108^2.37/(G108^2.37+I108^2.37)</f>
        <v>0.532296118971684</v>
      </c>
      <c r="L108" s="14" t="n">
        <f aca="false">(E108/(E108+F108))-K108</f>
        <v>0.0391324524568875</v>
      </c>
      <c r="M108" s="15" t="n">
        <f aca="false">IF(B108=_xlfn.MAXIFS($B$2:$B$163,$A$2:$A$163,A108),1,0)</f>
        <v>0</v>
      </c>
    </row>
    <row r="109" customFormat="false" ht="15" hidden="false" customHeight="false" outlineLevel="0" collapsed="false">
      <c r="A109" s="16" t="n">
        <v>2021</v>
      </c>
      <c r="B109" s="16" t="n">
        <v>6</v>
      </c>
      <c r="C109" s="16" t="s">
        <v>52</v>
      </c>
      <c r="D109" s="16" t="s">
        <v>94</v>
      </c>
      <c r="E109" s="16" t="n">
        <v>8</v>
      </c>
      <c r="F109" s="16" t="n">
        <v>6</v>
      </c>
      <c r="G109" s="17" t="n">
        <v>1714.08</v>
      </c>
      <c r="H109" s="25" t="s">
        <v>67</v>
      </c>
      <c r="I109" s="17" t="n">
        <v>1766.92</v>
      </c>
      <c r="J109" s="19" t="n">
        <f aca="false">G109-I109</f>
        <v>-52.8400000000001</v>
      </c>
      <c r="K109" s="20" t="n">
        <f aca="false">G109^2.37/(G109^2.37+I109^2.37)</f>
        <v>0.482018614022017</v>
      </c>
      <c r="L109" s="21" t="n">
        <f aca="false">(E109/(E109+F109))-K109</f>
        <v>0.089409957406554</v>
      </c>
      <c r="M109" s="15" t="n">
        <f aca="false">IF(B109=_xlfn.MAXIFS($B$2:$B$163,$A$2:$A$163,A109),1,0)</f>
        <v>0</v>
      </c>
    </row>
    <row r="110" customFormat="false" ht="15" hidden="false" customHeight="false" outlineLevel="0" collapsed="false">
      <c r="A110" s="9" t="n">
        <v>2021</v>
      </c>
      <c r="B110" s="9" t="n">
        <v>7</v>
      </c>
      <c r="C110" s="9" t="s">
        <v>55</v>
      </c>
      <c r="D110" s="9" t="s">
        <v>95</v>
      </c>
      <c r="E110" s="9" t="n">
        <v>7</v>
      </c>
      <c r="F110" s="9" t="n">
        <v>7</v>
      </c>
      <c r="G110" s="10" t="n">
        <v>1822.16</v>
      </c>
      <c r="H110" s="24" t="s">
        <v>54</v>
      </c>
      <c r="I110" s="10" t="n">
        <v>1761.3</v>
      </c>
      <c r="J110" s="12" t="n">
        <f aca="false">G110-I110</f>
        <v>60.8600000000001</v>
      </c>
      <c r="K110" s="13" t="n">
        <f aca="false">G110^2.37/(G110^2.37+I110^2.37)</f>
        <v>0.520116619502169</v>
      </c>
      <c r="L110" s="14" t="n">
        <f aca="false">(E110/(E110+F110))-K110</f>
        <v>-0.0201166195021686</v>
      </c>
      <c r="M110" s="15" t="n">
        <f aca="false">IF(B110=_xlfn.MAXIFS($B$2:$B$163,$A$2:$A$163,A110),1,0)</f>
        <v>0</v>
      </c>
    </row>
    <row r="111" customFormat="false" ht="15" hidden="false" customHeight="false" outlineLevel="0" collapsed="false">
      <c r="A111" s="16" t="n">
        <v>2021</v>
      </c>
      <c r="B111" s="16" t="n">
        <v>8</v>
      </c>
      <c r="C111" s="16" t="s">
        <v>57</v>
      </c>
      <c r="D111" s="16" t="s">
        <v>96</v>
      </c>
      <c r="E111" s="16" t="n">
        <v>7</v>
      </c>
      <c r="F111" s="16" t="n">
        <v>7</v>
      </c>
      <c r="G111" s="17" t="n">
        <v>1762</v>
      </c>
      <c r="H111" s="24" t="s">
        <v>54</v>
      </c>
      <c r="I111" s="17" t="n">
        <v>1717.64</v>
      </c>
      <c r="J111" s="19" t="n">
        <f aca="false">G111-I111</f>
        <v>44.3599999999999</v>
      </c>
      <c r="K111" s="20" t="n">
        <f aca="false">G111^2.37/(G111^2.37+I111^2.37)</f>
        <v>0.515103130123816</v>
      </c>
      <c r="L111" s="21" t="n">
        <f aca="false">(E111/(E111+F111))-K111</f>
        <v>-0.0151031301238156</v>
      </c>
      <c r="M111" s="15" t="n">
        <f aca="false">IF(B111=_xlfn.MAXIFS($B$2:$B$163,$A$2:$A$163,A111),1,0)</f>
        <v>0</v>
      </c>
    </row>
    <row r="112" customFormat="false" ht="15" hidden="false" customHeight="false" outlineLevel="0" collapsed="false">
      <c r="A112" s="9" t="n">
        <v>2021</v>
      </c>
      <c r="B112" s="9" t="n">
        <v>9</v>
      </c>
      <c r="C112" s="9" t="s">
        <v>68</v>
      </c>
      <c r="D112" s="9" t="s">
        <v>80</v>
      </c>
      <c r="E112" s="9" t="n">
        <v>6</v>
      </c>
      <c r="F112" s="9" t="n">
        <v>8</v>
      </c>
      <c r="G112" s="10" t="n">
        <v>1617</v>
      </c>
      <c r="H112" s="24" t="s">
        <v>54</v>
      </c>
      <c r="I112" s="10" t="n">
        <v>1627.2</v>
      </c>
      <c r="J112" s="12" t="n">
        <f aca="false">G112-I112</f>
        <v>-10.2</v>
      </c>
      <c r="K112" s="13" t="n">
        <f aca="false">G112^2.37/(G112^2.37+I112^2.37)</f>
        <v>0.496274330767618</v>
      </c>
      <c r="L112" s="14" t="n">
        <f aca="false">(E112/(E112+F112))-K112</f>
        <v>-0.0677029021961891</v>
      </c>
      <c r="M112" s="15" t="n">
        <f aca="false">IF(B112=_xlfn.MAXIFS($B$2:$B$163,$A$2:$A$163,A112),1,0)</f>
        <v>0</v>
      </c>
    </row>
    <row r="113" customFormat="false" ht="15" hidden="false" customHeight="false" outlineLevel="0" collapsed="false">
      <c r="A113" s="16" t="n">
        <v>2021</v>
      </c>
      <c r="B113" s="16" t="n">
        <v>10</v>
      </c>
      <c r="C113" s="16" t="s">
        <v>59</v>
      </c>
      <c r="D113" s="16" t="s">
        <v>97</v>
      </c>
      <c r="E113" s="16" t="n">
        <v>6</v>
      </c>
      <c r="F113" s="16" t="n">
        <v>8</v>
      </c>
      <c r="G113" s="17" t="n">
        <v>1474.2</v>
      </c>
      <c r="H113" s="24" t="s">
        <v>54</v>
      </c>
      <c r="I113" s="17" t="n">
        <v>1591.78</v>
      </c>
      <c r="J113" s="19" t="n">
        <f aca="false">G113-I113</f>
        <v>-117.58</v>
      </c>
      <c r="K113" s="20" t="n">
        <f aca="false">G113^2.37/(G113^2.37+I113^2.37)</f>
        <v>0.454657988640408</v>
      </c>
      <c r="L113" s="21" t="n">
        <f aca="false">(E113/(E113+F113))-K113</f>
        <v>-0.0260865600689793</v>
      </c>
      <c r="M113" s="15" t="n">
        <f aca="false">IF(B113=_xlfn.MAXIFS($B$2:$B$163,$A$2:$A$163,A113),1,0)</f>
        <v>0</v>
      </c>
    </row>
    <row r="114" customFormat="false" ht="15" hidden="false" customHeight="false" outlineLevel="0" collapsed="false">
      <c r="A114" s="9" t="n">
        <v>2021</v>
      </c>
      <c r="B114" s="9" t="n">
        <v>11</v>
      </c>
      <c r="C114" s="9" t="s">
        <v>46</v>
      </c>
      <c r="D114" s="9" t="s">
        <v>98</v>
      </c>
      <c r="E114" s="9" t="n">
        <v>5</v>
      </c>
      <c r="F114" s="9" t="n">
        <v>9</v>
      </c>
      <c r="G114" s="10" t="n">
        <v>1629.1</v>
      </c>
      <c r="H114" s="24" t="s">
        <v>54</v>
      </c>
      <c r="I114" s="10" t="n">
        <v>1770.38</v>
      </c>
      <c r="J114" s="12" t="n">
        <f aca="false">G114-I114</f>
        <v>-141.28</v>
      </c>
      <c r="K114" s="13" t="n">
        <f aca="false">G114^2.37/(G114^2.37+I114^2.37)</f>
        <v>0.450882765193203</v>
      </c>
      <c r="L114" s="14" t="n">
        <f aca="false">(E114/(E114+F114))-K114</f>
        <v>-0.0937399080503457</v>
      </c>
      <c r="M114" s="15" t="n">
        <f aca="false">IF(B114=_xlfn.MAXIFS($B$2:$B$163,$A$2:$A$163,A114),1,0)</f>
        <v>0</v>
      </c>
    </row>
    <row r="115" customFormat="false" ht="15" hidden="false" customHeight="false" outlineLevel="0" collapsed="false">
      <c r="A115" s="16" t="n">
        <v>2021</v>
      </c>
      <c r="B115" s="16" t="n">
        <v>12</v>
      </c>
      <c r="C115" s="16" t="s">
        <v>43</v>
      </c>
      <c r="D115" s="16" t="s">
        <v>43</v>
      </c>
      <c r="E115" s="16" t="n">
        <v>2</v>
      </c>
      <c r="F115" s="16" t="n">
        <v>12</v>
      </c>
      <c r="G115" s="17" t="n">
        <v>1393.9</v>
      </c>
      <c r="H115" s="24" t="s">
        <v>54</v>
      </c>
      <c r="I115" s="17" t="n">
        <v>1781.68</v>
      </c>
      <c r="J115" s="19" t="n">
        <f aca="false">G115-I115</f>
        <v>-387.78</v>
      </c>
      <c r="K115" s="20" t="n">
        <f aca="false">G115^2.37/(G115^2.37+I115^2.37)</f>
        <v>0.358537087382319</v>
      </c>
      <c r="L115" s="21" t="n">
        <f aca="false">(E115/(E115+F115))-K115</f>
        <v>-0.215679944525176</v>
      </c>
      <c r="M115" s="15" t="n">
        <f aca="false">IF(B115=_xlfn.MAXIFS($B$2:$B$163,$A$2:$A$163,A115),1,0)</f>
        <v>1</v>
      </c>
    </row>
    <row r="116" customFormat="false" ht="15" hidden="false" customHeight="false" outlineLevel="0" collapsed="false">
      <c r="A116" s="9" t="n">
        <v>2022</v>
      </c>
      <c r="B116" s="9" t="n">
        <v>1</v>
      </c>
      <c r="C116" s="9" t="s">
        <v>40</v>
      </c>
      <c r="D116" s="9" t="s">
        <v>99</v>
      </c>
      <c r="E116" s="9" t="n">
        <v>11</v>
      </c>
      <c r="F116" s="9" t="n">
        <v>3</v>
      </c>
      <c r="G116" s="10" t="n">
        <v>1901.9</v>
      </c>
      <c r="H116" s="23" t="s">
        <v>51</v>
      </c>
      <c r="I116" s="10" t="n">
        <v>1514.1</v>
      </c>
      <c r="J116" s="12" t="n">
        <f aca="false">G116-I116</f>
        <v>387.8</v>
      </c>
      <c r="K116" s="13" t="n">
        <f aca="false">G116^2.37/(G116^2.37+I116^2.37)</f>
        <v>0.631913900543561</v>
      </c>
      <c r="L116" s="14" t="n">
        <f aca="false">(E116/(E116+F116))-K116</f>
        <v>0.153800385170724</v>
      </c>
      <c r="M116" s="15" t="n">
        <f aca="false">IF(B116=_xlfn.MAXIFS($B$2:$B$163,$A$2:$A$163,A116),1,0)</f>
        <v>0</v>
      </c>
    </row>
    <row r="117" customFormat="false" ht="15" hidden="false" customHeight="false" outlineLevel="0" collapsed="false">
      <c r="A117" s="16" t="n">
        <v>2022</v>
      </c>
      <c r="B117" s="16" t="n">
        <v>2</v>
      </c>
      <c r="C117" s="16" t="s">
        <v>63</v>
      </c>
      <c r="D117" s="16" t="s">
        <v>100</v>
      </c>
      <c r="E117" s="16" t="n">
        <v>9</v>
      </c>
      <c r="F117" s="16" t="n">
        <v>5</v>
      </c>
      <c r="G117" s="17" t="n">
        <v>1715</v>
      </c>
      <c r="H117" s="18" t="s">
        <v>45</v>
      </c>
      <c r="I117" s="17" t="n">
        <v>1615.14</v>
      </c>
      <c r="J117" s="19" t="n">
        <f aca="false">G117-I117</f>
        <v>99.8599999999999</v>
      </c>
      <c r="K117" s="20" t="n">
        <f aca="false">G117^2.37/(G117^2.37+I117^2.37)</f>
        <v>0.535485170626992</v>
      </c>
      <c r="L117" s="21" t="n">
        <f aca="false">(E117/(E117+F117))-K117</f>
        <v>0.107371972230151</v>
      </c>
      <c r="M117" s="15" t="n">
        <f aca="false">IF(B117=_xlfn.MAXIFS($B$2:$B$163,$A$2:$A$163,A117),1,0)</f>
        <v>0</v>
      </c>
    </row>
    <row r="118" customFormat="false" ht="15" hidden="false" customHeight="false" outlineLevel="0" collapsed="false">
      <c r="A118" s="9" t="n">
        <v>2022</v>
      </c>
      <c r="B118" s="9" t="n">
        <v>3</v>
      </c>
      <c r="C118" s="9" t="s">
        <v>65</v>
      </c>
      <c r="D118" s="9" t="s">
        <v>101</v>
      </c>
      <c r="E118" s="9" t="n">
        <v>9</v>
      </c>
      <c r="F118" s="9" t="n">
        <v>5</v>
      </c>
      <c r="G118" s="10" t="n">
        <v>1552.9</v>
      </c>
      <c r="H118" s="11" t="s">
        <v>42</v>
      </c>
      <c r="I118" s="10" t="n">
        <v>1535.8</v>
      </c>
      <c r="J118" s="12" t="n">
        <f aca="false">G118-I118</f>
        <v>17.1000000000001</v>
      </c>
      <c r="K118" s="13" t="n">
        <f aca="false">G118^2.37/(G118^2.37+I118^2.37)</f>
        <v>0.506560217635225</v>
      </c>
      <c r="L118" s="14" t="n">
        <f aca="false">(E118/(E118+F118))-K118</f>
        <v>0.136296925221918</v>
      </c>
      <c r="M118" s="15" t="n">
        <f aca="false">IF(B118=_xlfn.MAXIFS($B$2:$B$163,$A$2:$A$163,A118),1,0)</f>
        <v>0</v>
      </c>
    </row>
    <row r="119" customFormat="false" ht="15" hidden="false" customHeight="false" outlineLevel="0" collapsed="false">
      <c r="A119" s="16" t="n">
        <v>2022</v>
      </c>
      <c r="B119" s="16" t="n">
        <v>4</v>
      </c>
      <c r="C119" s="16" t="s">
        <v>52</v>
      </c>
      <c r="D119" s="16" t="s">
        <v>102</v>
      </c>
      <c r="E119" s="16" t="n">
        <v>9</v>
      </c>
      <c r="F119" s="16" t="n">
        <v>5</v>
      </c>
      <c r="G119" s="17" t="n">
        <v>1662.1</v>
      </c>
      <c r="H119" s="25" t="s">
        <v>67</v>
      </c>
      <c r="I119" s="17" t="n">
        <v>1649.14</v>
      </c>
      <c r="J119" s="19" t="n">
        <f aca="false">G119-I119</f>
        <v>12.9599999999998</v>
      </c>
      <c r="K119" s="20" t="n">
        <f aca="false">G119^2.37/(G119^2.37+I119^2.37)</f>
        <v>0.504637911461733</v>
      </c>
      <c r="L119" s="21" t="n">
        <f aca="false">(E119/(E119+F119))-K119</f>
        <v>0.13821923139541</v>
      </c>
      <c r="M119" s="15" t="n">
        <f aca="false">IF(B119=_xlfn.MAXIFS($B$2:$B$163,$A$2:$A$163,A119),1,0)</f>
        <v>0</v>
      </c>
    </row>
    <row r="120" customFormat="false" ht="15" hidden="false" customHeight="false" outlineLevel="0" collapsed="false">
      <c r="A120" s="9" t="n">
        <v>2022</v>
      </c>
      <c r="B120" s="9" t="n">
        <v>5</v>
      </c>
      <c r="C120" s="9" t="s">
        <v>43</v>
      </c>
      <c r="D120" s="9" t="s">
        <v>103</v>
      </c>
      <c r="E120" s="9" t="n">
        <v>9</v>
      </c>
      <c r="F120" s="9" t="n">
        <v>5</v>
      </c>
      <c r="G120" s="10" t="n">
        <v>1681.3</v>
      </c>
      <c r="H120" s="25" t="s">
        <v>67</v>
      </c>
      <c r="I120" s="10" t="n">
        <v>1584.8</v>
      </c>
      <c r="J120" s="12" t="n">
        <f aca="false">G120-I120</f>
        <v>96.5</v>
      </c>
      <c r="K120" s="13" t="n">
        <f aca="false">G120^2.37/(G120^2.37+I120^2.37)</f>
        <v>0.534964971211237</v>
      </c>
      <c r="L120" s="14" t="n">
        <f aca="false">(E120/(E120+F120))-K120</f>
        <v>0.107892171645906</v>
      </c>
      <c r="M120" s="15" t="n">
        <f aca="false">IF(B120=_xlfn.MAXIFS($B$2:$B$163,$A$2:$A$163,A120),1,0)</f>
        <v>0</v>
      </c>
    </row>
    <row r="121" customFormat="false" ht="15" hidden="false" customHeight="false" outlineLevel="0" collapsed="false">
      <c r="A121" s="16" t="n">
        <v>2022</v>
      </c>
      <c r="B121" s="16" t="n">
        <v>6</v>
      </c>
      <c r="C121" s="16" t="s">
        <v>49</v>
      </c>
      <c r="D121" s="16" t="s">
        <v>104</v>
      </c>
      <c r="E121" s="16" t="n">
        <v>7</v>
      </c>
      <c r="F121" s="16" t="n">
        <v>7</v>
      </c>
      <c r="G121" s="17" t="n">
        <v>1615.7</v>
      </c>
      <c r="H121" s="22" t="s">
        <v>48</v>
      </c>
      <c r="I121" s="17" t="n">
        <v>1763.94</v>
      </c>
      <c r="J121" s="19" t="n">
        <f aca="false">G121-I121</f>
        <v>-148.24</v>
      </c>
      <c r="K121" s="20" t="n">
        <f aca="false">G121^2.37/(G121^2.37+I121^2.37)</f>
        <v>0.448176159747754</v>
      </c>
      <c r="L121" s="21" t="n">
        <f aca="false">(E121/(E121+F121))-K121</f>
        <v>0.0518238402522465</v>
      </c>
      <c r="M121" s="15" t="n">
        <f aca="false">IF(B121=_xlfn.MAXIFS($B$2:$B$163,$A$2:$A$163,A121),1,0)</f>
        <v>0</v>
      </c>
    </row>
    <row r="122" customFormat="false" ht="15" hidden="false" customHeight="false" outlineLevel="0" collapsed="false">
      <c r="A122" s="9" t="n">
        <v>2022</v>
      </c>
      <c r="B122" s="9" t="n">
        <v>7</v>
      </c>
      <c r="C122" s="9" t="s">
        <v>59</v>
      </c>
      <c r="D122" s="9" t="s">
        <v>105</v>
      </c>
      <c r="E122" s="9" t="n">
        <v>6</v>
      </c>
      <c r="F122" s="9" t="n">
        <v>8</v>
      </c>
      <c r="G122" s="10" t="n">
        <v>1549.1</v>
      </c>
      <c r="H122" s="24" t="s">
        <v>54</v>
      </c>
      <c r="I122" s="10" t="n">
        <v>1750.78</v>
      </c>
      <c r="J122" s="12" t="n">
        <f aca="false">G122-I122</f>
        <v>-201.68</v>
      </c>
      <c r="K122" s="13" t="n">
        <f aca="false">G122^2.37/(G122^2.37+I122^2.37)</f>
        <v>0.427989700248995</v>
      </c>
      <c r="L122" s="14" t="n">
        <f aca="false">(E122/(E122+F122))-K122</f>
        <v>0.00058172832243325</v>
      </c>
      <c r="M122" s="15" t="n">
        <f aca="false">IF(B122=_xlfn.MAXIFS($B$2:$B$163,$A$2:$A$163,A122),1,0)</f>
        <v>0</v>
      </c>
    </row>
    <row r="123" customFormat="false" ht="15" hidden="false" customHeight="false" outlineLevel="0" collapsed="false">
      <c r="A123" s="16" t="n">
        <v>2022</v>
      </c>
      <c r="B123" s="16" t="n">
        <v>8</v>
      </c>
      <c r="C123" s="16" t="s">
        <v>55</v>
      </c>
      <c r="D123" s="16" t="s">
        <v>106</v>
      </c>
      <c r="E123" s="16" t="n">
        <v>5</v>
      </c>
      <c r="F123" s="16" t="n">
        <v>9</v>
      </c>
      <c r="G123" s="17" t="n">
        <v>1629.36</v>
      </c>
      <c r="H123" s="24" t="s">
        <v>54</v>
      </c>
      <c r="I123" s="17" t="n">
        <v>1642.28</v>
      </c>
      <c r="J123" s="19" t="n">
        <f aca="false">G123-I123</f>
        <v>-12.9200000000001</v>
      </c>
      <c r="K123" s="20" t="n">
        <f aca="false">G123^2.37/(G123^2.37+I123^2.37)</f>
        <v>0.495320440954842</v>
      </c>
      <c r="L123" s="21" t="n">
        <f aca="false">(E123/(E123+F123))-K123</f>
        <v>-0.138177583811985</v>
      </c>
      <c r="M123" s="15" t="n">
        <f aca="false">IF(B123=_xlfn.MAXIFS($B$2:$B$163,$A$2:$A$163,A123),1,0)</f>
        <v>0</v>
      </c>
    </row>
    <row r="124" customFormat="false" ht="15" hidden="false" customHeight="false" outlineLevel="0" collapsed="false">
      <c r="A124" s="9" t="n">
        <v>2022</v>
      </c>
      <c r="B124" s="9" t="n">
        <v>9</v>
      </c>
      <c r="C124" s="9" t="s">
        <v>68</v>
      </c>
      <c r="D124" s="9" t="s">
        <v>80</v>
      </c>
      <c r="E124" s="9" t="n">
        <v>5</v>
      </c>
      <c r="F124" s="9" t="n">
        <v>9</v>
      </c>
      <c r="G124" s="10" t="n">
        <v>1516.6</v>
      </c>
      <c r="H124" s="24" t="s">
        <v>54</v>
      </c>
      <c r="I124" s="10" t="n">
        <v>1709.22</v>
      </c>
      <c r="J124" s="12" t="n">
        <f aca="false">G124-I124</f>
        <v>-192.62</v>
      </c>
      <c r="K124" s="13" t="n">
        <f aca="false">G124^2.37/(G124^2.37+I124^2.37)</f>
        <v>0.429627341449976</v>
      </c>
      <c r="L124" s="14" t="n">
        <f aca="false">(E124/(E124+F124))-K124</f>
        <v>-0.072484484307119</v>
      </c>
      <c r="M124" s="15" t="n">
        <f aca="false">IF(B124=_xlfn.MAXIFS($B$2:$B$163,$A$2:$A$163,A124),1,0)</f>
        <v>0</v>
      </c>
    </row>
    <row r="125" customFormat="false" ht="15" hidden="false" customHeight="false" outlineLevel="0" collapsed="false">
      <c r="A125" s="16" t="n">
        <v>2022</v>
      </c>
      <c r="B125" s="16" t="n">
        <v>10</v>
      </c>
      <c r="C125" s="16" t="s">
        <v>61</v>
      </c>
      <c r="D125" s="16" t="s">
        <v>107</v>
      </c>
      <c r="E125" s="16" t="n">
        <v>5</v>
      </c>
      <c r="F125" s="16" t="n">
        <v>9</v>
      </c>
      <c r="G125" s="17" t="n">
        <v>1754.7</v>
      </c>
      <c r="H125" s="24" t="s">
        <v>54</v>
      </c>
      <c r="I125" s="17" t="n">
        <v>1690.72</v>
      </c>
      <c r="J125" s="19" t="n">
        <f aca="false">G125-I125</f>
        <v>63.98</v>
      </c>
      <c r="K125" s="20" t="n">
        <f aca="false">G125^2.37/(G125^2.37+I125^2.37)</f>
        <v>0.521993280523795</v>
      </c>
      <c r="L125" s="21" t="n">
        <f aca="false">(E125/(E125+F125))-K125</f>
        <v>-0.164850423380938</v>
      </c>
      <c r="M125" s="15" t="n">
        <f aca="false">IF(B125=_xlfn.MAXIFS($B$2:$B$163,$A$2:$A$163,A125),1,0)</f>
        <v>0</v>
      </c>
    </row>
    <row r="126" customFormat="false" ht="15" hidden="false" customHeight="false" outlineLevel="0" collapsed="false">
      <c r="A126" s="9" t="n">
        <v>2022</v>
      </c>
      <c r="B126" s="9" t="n">
        <v>11</v>
      </c>
      <c r="C126" s="9" t="s">
        <v>57</v>
      </c>
      <c r="D126" s="9" t="s">
        <v>108</v>
      </c>
      <c r="E126" s="9" t="n">
        <v>5</v>
      </c>
      <c r="F126" s="9" t="n">
        <v>9</v>
      </c>
      <c r="G126" s="10" t="n">
        <v>1735.4</v>
      </c>
      <c r="H126" s="24" t="s">
        <v>54</v>
      </c>
      <c r="I126" s="10" t="n">
        <v>1723.04</v>
      </c>
      <c r="J126" s="12" t="n">
        <f aca="false">G126-I126</f>
        <v>12.3600000000001</v>
      </c>
      <c r="K126" s="13" t="n">
        <f aca="false">G126^2.37/(G126^2.37+I126^2.37)</f>
        <v>0.504234947579114</v>
      </c>
      <c r="L126" s="14" t="n">
        <f aca="false">(E126/(E126+F126))-K126</f>
        <v>-0.147092090436257</v>
      </c>
      <c r="M126" s="15" t="n">
        <f aca="false">IF(B126=_xlfn.MAXIFS($B$2:$B$163,$A$2:$A$163,A126),1,0)</f>
        <v>0</v>
      </c>
    </row>
    <row r="127" customFormat="false" ht="15" hidden="false" customHeight="false" outlineLevel="0" collapsed="false">
      <c r="A127" s="16" t="n">
        <v>2022</v>
      </c>
      <c r="B127" s="16" t="n">
        <v>12</v>
      </c>
      <c r="C127" s="16" t="s">
        <v>46</v>
      </c>
      <c r="D127" s="16" t="s">
        <v>109</v>
      </c>
      <c r="E127" s="16" t="n">
        <v>4</v>
      </c>
      <c r="F127" s="16" t="n">
        <v>10</v>
      </c>
      <c r="G127" s="17" t="n">
        <v>1597.9</v>
      </c>
      <c r="H127" s="24" t="s">
        <v>54</v>
      </c>
      <c r="I127" s="17" t="n">
        <v>1732.24</v>
      </c>
      <c r="J127" s="19" t="n">
        <f aca="false">G127-I127</f>
        <v>-134.34</v>
      </c>
      <c r="K127" s="20" t="n">
        <f aca="false">G127^2.37/(G127^2.37+I127^2.37)</f>
        <v>0.452315736694239</v>
      </c>
      <c r="L127" s="21" t="n">
        <f aca="false">(E127/(E127+F127))-K127</f>
        <v>-0.166601450979954</v>
      </c>
      <c r="M127" s="15" t="n">
        <f aca="false">IF(B127=_xlfn.MAXIFS($B$2:$B$163,$A$2:$A$163,A127),1,0)</f>
        <v>1</v>
      </c>
    </row>
    <row r="128" customFormat="false" ht="15" hidden="false" customHeight="false" outlineLevel="0" collapsed="false">
      <c r="A128" s="9" t="n">
        <v>2023</v>
      </c>
      <c r="B128" s="9" t="n">
        <v>1</v>
      </c>
      <c r="C128" s="9" t="s">
        <v>61</v>
      </c>
      <c r="D128" s="9" t="s">
        <v>110</v>
      </c>
      <c r="E128" s="9" t="n">
        <v>10</v>
      </c>
      <c r="F128" s="9" t="n">
        <v>4</v>
      </c>
      <c r="G128" s="10" t="n">
        <v>1864.08</v>
      </c>
      <c r="H128" s="22" t="s">
        <v>48</v>
      </c>
      <c r="I128" s="10" t="n">
        <v>1772.36</v>
      </c>
      <c r="J128" s="12" t="n">
        <f aca="false">G128-I128</f>
        <v>91.72</v>
      </c>
      <c r="K128" s="13" t="n">
        <f aca="false">G128^2.37/(G128^2.37+I128^2.37)</f>
        <v>0.529859395530526</v>
      </c>
      <c r="L128" s="14" t="n">
        <f aca="false">(E128/(E128+F128))-K128</f>
        <v>0.184426318755188</v>
      </c>
      <c r="M128" s="15" t="n">
        <f aca="false">IF(B128=_xlfn.MAXIFS($B$2:$B$163,$A$2:$A$163,A128),1,0)</f>
        <v>0</v>
      </c>
    </row>
    <row r="129" customFormat="false" ht="15" hidden="false" customHeight="false" outlineLevel="0" collapsed="false">
      <c r="A129" s="16" t="n">
        <v>2023</v>
      </c>
      <c r="B129" s="16" t="n">
        <v>2</v>
      </c>
      <c r="C129" s="16" t="s">
        <v>55</v>
      </c>
      <c r="D129" s="16" t="s">
        <v>111</v>
      </c>
      <c r="E129" s="16" t="n">
        <v>10</v>
      </c>
      <c r="F129" s="16" t="n">
        <v>4</v>
      </c>
      <c r="G129" s="17" t="n">
        <v>1807.9</v>
      </c>
      <c r="H129" s="18" t="s">
        <v>45</v>
      </c>
      <c r="I129" s="17" t="n">
        <v>1561.62</v>
      </c>
      <c r="J129" s="19" t="n">
        <f aca="false">G129-I129</f>
        <v>246.28</v>
      </c>
      <c r="K129" s="20" t="n">
        <f aca="false">G129^2.37/(G129^2.37+I129^2.37)</f>
        <v>0.585906403719613</v>
      </c>
      <c r="L129" s="21" t="n">
        <f aca="false">(E129/(E129+F129))-K129</f>
        <v>0.128379310566102</v>
      </c>
      <c r="M129" s="15" t="n">
        <f aca="false">IF(B129=_xlfn.MAXIFS($B$2:$B$163,$A$2:$A$163,A129),1,0)</f>
        <v>0</v>
      </c>
    </row>
    <row r="130" customFormat="false" ht="15" hidden="false" customHeight="false" outlineLevel="0" collapsed="false">
      <c r="A130" s="9" t="n">
        <v>2023</v>
      </c>
      <c r="B130" s="9" t="n">
        <v>3</v>
      </c>
      <c r="C130" s="9" t="s">
        <v>43</v>
      </c>
      <c r="D130" s="9" t="s">
        <v>103</v>
      </c>
      <c r="E130" s="9" t="n">
        <v>9</v>
      </c>
      <c r="F130" s="9" t="n">
        <v>5</v>
      </c>
      <c r="G130" s="10" t="n">
        <v>1791.76</v>
      </c>
      <c r="H130" s="25" t="s">
        <v>67</v>
      </c>
      <c r="I130" s="10" t="n">
        <v>1543.8</v>
      </c>
      <c r="J130" s="12" t="n">
        <f aca="false">G130-I130</f>
        <v>247.96</v>
      </c>
      <c r="K130" s="13" t="n">
        <f aca="false">G130^2.37/(G130^2.37+I130^2.37)</f>
        <v>0.587348511773073</v>
      </c>
      <c r="L130" s="14" t="n">
        <f aca="false">(E130/(E130+F130))-K130</f>
        <v>0.0555086310840705</v>
      </c>
      <c r="M130" s="15" t="n">
        <f aca="false">IF(B130=_xlfn.MAXIFS($B$2:$B$163,$A$2:$A$163,A130),1,0)</f>
        <v>0</v>
      </c>
    </row>
    <row r="131" customFormat="false" ht="15" hidden="false" customHeight="false" outlineLevel="0" collapsed="false">
      <c r="A131" s="16" t="n">
        <v>2023</v>
      </c>
      <c r="B131" s="16" t="n">
        <v>4</v>
      </c>
      <c r="C131" s="16" t="s">
        <v>49</v>
      </c>
      <c r="D131" s="16" t="s">
        <v>112</v>
      </c>
      <c r="E131" s="16" t="n">
        <v>9</v>
      </c>
      <c r="F131" s="16" t="n">
        <v>5</v>
      </c>
      <c r="G131" s="17" t="n">
        <v>1728.56</v>
      </c>
      <c r="H131" s="25" t="s">
        <v>67</v>
      </c>
      <c r="I131" s="17" t="n">
        <v>1697.78</v>
      </c>
      <c r="J131" s="19" t="n">
        <f aca="false">G131-I131</f>
        <v>30.78</v>
      </c>
      <c r="K131" s="20" t="n">
        <f aca="false">G131^2.37/(G131^2.37+I131^2.37)</f>
        <v>0.510643943876389</v>
      </c>
      <c r="L131" s="21" t="n">
        <f aca="false">(E131/(E131+F131))-K131</f>
        <v>0.132213198980754</v>
      </c>
      <c r="M131" s="15" t="n">
        <f aca="false">IF(B131=_xlfn.MAXIFS($B$2:$B$163,$A$2:$A$163,A131),1,0)</f>
        <v>0</v>
      </c>
    </row>
    <row r="132" customFormat="false" ht="15" hidden="false" customHeight="false" outlineLevel="0" collapsed="false">
      <c r="A132" s="9" t="n">
        <v>2023</v>
      </c>
      <c r="B132" s="9" t="n">
        <v>5</v>
      </c>
      <c r="C132" s="9" t="s">
        <v>57</v>
      </c>
      <c r="D132" s="9" t="s">
        <v>113</v>
      </c>
      <c r="E132" s="9" t="n">
        <v>7</v>
      </c>
      <c r="F132" s="9" t="n">
        <v>7</v>
      </c>
      <c r="G132" s="10" t="n">
        <v>1520.04</v>
      </c>
      <c r="H132" s="11" t="s">
        <v>42</v>
      </c>
      <c r="I132" s="10" t="n">
        <v>1556.84</v>
      </c>
      <c r="J132" s="12" t="n">
        <f aca="false">G132-I132</f>
        <v>-36.8</v>
      </c>
      <c r="K132" s="13" t="n">
        <f aca="false">G132^2.37/(G132^2.37+I132^2.37)</f>
        <v>0.485830320880152</v>
      </c>
      <c r="L132" s="14" t="n">
        <f aca="false">(E132/(E132+F132))-K132</f>
        <v>0.0141696791198482</v>
      </c>
      <c r="M132" s="15" t="n">
        <f aca="false">IF(B132=_xlfn.MAXIFS($B$2:$B$163,$A$2:$A$163,A132),1,0)</f>
        <v>0</v>
      </c>
    </row>
    <row r="133" customFormat="false" ht="15" hidden="false" customHeight="false" outlineLevel="0" collapsed="false">
      <c r="A133" s="16" t="n">
        <v>2023</v>
      </c>
      <c r="B133" s="16" t="n">
        <v>6</v>
      </c>
      <c r="C133" s="16" t="s">
        <v>46</v>
      </c>
      <c r="D133" s="16" t="s">
        <v>114</v>
      </c>
      <c r="E133" s="16" t="n">
        <v>6</v>
      </c>
      <c r="F133" s="16" t="n">
        <v>8</v>
      </c>
      <c r="G133" s="17" t="n">
        <v>1725.86</v>
      </c>
      <c r="H133" s="23" t="s">
        <v>51</v>
      </c>
      <c r="I133" s="17" t="n">
        <v>1797.78</v>
      </c>
      <c r="J133" s="19" t="n">
        <f aca="false">G133-I133</f>
        <v>-71.9200000000001</v>
      </c>
      <c r="K133" s="20" t="n">
        <f aca="false">G133^2.37/(G133^2.37+I133^2.37)</f>
        <v>0.475828802856842</v>
      </c>
      <c r="L133" s="21" t="n">
        <f aca="false">(E133/(E133+F133))-K133</f>
        <v>-0.0472573742854131</v>
      </c>
      <c r="M133" s="15" t="n">
        <f aca="false">IF(B133=_xlfn.MAXIFS($B$2:$B$163,$A$2:$A$163,A133),1,0)</f>
        <v>0</v>
      </c>
    </row>
    <row r="134" customFormat="false" ht="15" hidden="false" customHeight="false" outlineLevel="0" collapsed="false">
      <c r="A134" s="9" t="n">
        <v>2023</v>
      </c>
      <c r="B134" s="9" t="n">
        <v>7</v>
      </c>
      <c r="C134" s="9" t="s">
        <v>65</v>
      </c>
      <c r="D134" s="9" t="s">
        <v>115</v>
      </c>
      <c r="E134" s="9" t="n">
        <v>6</v>
      </c>
      <c r="F134" s="9" t="n">
        <v>8</v>
      </c>
      <c r="G134" s="10" t="n">
        <v>1676.58</v>
      </c>
      <c r="H134" s="24" t="s">
        <v>54</v>
      </c>
      <c r="I134" s="10" t="n">
        <v>1849.64</v>
      </c>
      <c r="J134" s="12" t="n">
        <f aca="false">G134-I134</f>
        <v>-173.06</v>
      </c>
      <c r="K134" s="13" t="n">
        <f aca="false">G134^2.37/(G134^2.37+I134^2.37)</f>
        <v>0.442057240001808</v>
      </c>
      <c r="L134" s="14" t="n">
        <f aca="false">(E134/(E134+F134))-K134</f>
        <v>-0.0134858114303799</v>
      </c>
      <c r="M134" s="15" t="n">
        <f aca="false">IF(B134=_xlfn.MAXIFS($B$2:$B$163,$A$2:$A$163,A134),1,0)</f>
        <v>0</v>
      </c>
    </row>
    <row r="135" customFormat="false" ht="15" hidden="false" customHeight="false" outlineLevel="0" collapsed="false">
      <c r="A135" s="16" t="n">
        <v>2023</v>
      </c>
      <c r="B135" s="16" t="n">
        <v>8</v>
      </c>
      <c r="C135" s="16" t="s">
        <v>52</v>
      </c>
      <c r="D135" s="16" t="s">
        <v>116</v>
      </c>
      <c r="E135" s="16" t="n">
        <v>6</v>
      </c>
      <c r="F135" s="16" t="n">
        <v>8</v>
      </c>
      <c r="G135" s="17" t="n">
        <v>1578.62</v>
      </c>
      <c r="H135" s="24" t="s">
        <v>54</v>
      </c>
      <c r="I135" s="17" t="n">
        <v>1579.96</v>
      </c>
      <c r="J135" s="19" t="n">
        <f aca="false">G135-I135</f>
        <v>-1.34000000000015</v>
      </c>
      <c r="K135" s="20" t="n">
        <f aca="false">G135^2.37/(G135^2.37+I135^2.37)</f>
        <v>0.499497274230769</v>
      </c>
      <c r="L135" s="21" t="n">
        <f aca="false">(E135/(E135+F135))-K135</f>
        <v>-0.0709258456593406</v>
      </c>
      <c r="M135" s="15" t="n">
        <f aca="false">IF(B135=_xlfn.MAXIFS($B$2:$B$163,$A$2:$A$163,A135),1,0)</f>
        <v>0</v>
      </c>
    </row>
    <row r="136" customFormat="false" ht="15" hidden="false" customHeight="false" outlineLevel="0" collapsed="false">
      <c r="A136" s="9" t="n">
        <v>2023</v>
      </c>
      <c r="B136" s="9" t="n">
        <v>9</v>
      </c>
      <c r="C136" s="9" t="s">
        <v>63</v>
      </c>
      <c r="D136" s="9" t="s">
        <v>117</v>
      </c>
      <c r="E136" s="9" t="n">
        <v>6</v>
      </c>
      <c r="F136" s="9" t="n">
        <v>8</v>
      </c>
      <c r="G136" s="10" t="n">
        <v>1576.18</v>
      </c>
      <c r="H136" s="24" t="s">
        <v>54</v>
      </c>
      <c r="I136" s="10" t="n">
        <v>1583.76</v>
      </c>
      <c r="J136" s="12" t="n">
        <f aca="false">G136-I136</f>
        <v>-7.57999999999993</v>
      </c>
      <c r="K136" s="13" t="n">
        <f aca="false">G136^2.37/(G136^2.37+I136^2.37)</f>
        <v>0.497157471199273</v>
      </c>
      <c r="L136" s="14" t="n">
        <f aca="false">(E136/(E136+F136))-K136</f>
        <v>-0.0685860426278442</v>
      </c>
      <c r="M136" s="15" t="n">
        <f aca="false">IF(B136=_xlfn.MAXIFS($B$2:$B$163,$A$2:$A$163,A136),1,0)</f>
        <v>0</v>
      </c>
    </row>
    <row r="137" customFormat="false" ht="15" hidden="false" customHeight="false" outlineLevel="0" collapsed="false">
      <c r="A137" s="16" t="n">
        <v>2023</v>
      </c>
      <c r="B137" s="16" t="n">
        <v>10</v>
      </c>
      <c r="C137" s="16" t="s">
        <v>68</v>
      </c>
      <c r="D137" s="16" t="s">
        <v>80</v>
      </c>
      <c r="E137" s="16" t="n">
        <v>5</v>
      </c>
      <c r="F137" s="16" t="n">
        <v>9</v>
      </c>
      <c r="G137" s="17" t="n">
        <v>1705.5</v>
      </c>
      <c r="H137" s="24" t="s">
        <v>54</v>
      </c>
      <c r="I137" s="17" t="n">
        <v>1808.88</v>
      </c>
      <c r="J137" s="19" t="n">
        <f aca="false">G137-I137</f>
        <v>-103.38</v>
      </c>
      <c r="K137" s="20" t="n">
        <f aca="false">G137^2.37/(G137^2.37+I137^2.37)</f>
        <v>0.465188058086807</v>
      </c>
      <c r="L137" s="21" t="n">
        <f aca="false">(E137/(E137+F137))-K137</f>
        <v>-0.10804520094395</v>
      </c>
      <c r="M137" s="15" t="n">
        <f aca="false">IF(B137=_xlfn.MAXIFS($B$2:$B$163,$A$2:$A$163,A137),1,0)</f>
        <v>0</v>
      </c>
    </row>
    <row r="138" customFormat="false" ht="15" hidden="false" customHeight="false" outlineLevel="0" collapsed="false">
      <c r="A138" s="9" t="n">
        <v>2023</v>
      </c>
      <c r="B138" s="9" t="n">
        <v>11</v>
      </c>
      <c r="C138" s="9" t="s">
        <v>118</v>
      </c>
      <c r="D138" s="9" t="s">
        <v>119</v>
      </c>
      <c r="E138" s="9" t="n">
        <v>5</v>
      </c>
      <c r="F138" s="9" t="n">
        <v>9</v>
      </c>
      <c r="G138" s="10" t="n">
        <v>1662.54</v>
      </c>
      <c r="H138" s="24" t="s">
        <v>54</v>
      </c>
      <c r="I138" s="10" t="n">
        <v>1694.12</v>
      </c>
      <c r="J138" s="12" t="n">
        <f aca="false">G138-I138</f>
        <v>-31.5799999999999</v>
      </c>
      <c r="K138" s="13" t="n">
        <f aca="false">G138^2.37/(G138^2.37+I138^2.37)</f>
        <v>0.48885284684714</v>
      </c>
      <c r="L138" s="14" t="n">
        <f aca="false">(E138/(E138+F138))-K138</f>
        <v>-0.131709989704283</v>
      </c>
      <c r="M138" s="15" t="n">
        <f aca="false">IF(B138=_xlfn.MAXIFS($B$2:$B$163,$A$2:$A$163,A138),1,0)</f>
        <v>0</v>
      </c>
    </row>
    <row r="139" customFormat="false" ht="15" hidden="false" customHeight="false" outlineLevel="0" collapsed="false">
      <c r="A139" s="16" t="n">
        <v>2023</v>
      </c>
      <c r="B139" s="16" t="n">
        <v>12</v>
      </c>
      <c r="C139" s="16" t="s">
        <v>40</v>
      </c>
      <c r="D139" s="16" t="s">
        <v>120</v>
      </c>
      <c r="E139" s="16" t="n">
        <v>5</v>
      </c>
      <c r="F139" s="16" t="n">
        <v>9</v>
      </c>
      <c r="G139" s="17" t="n">
        <v>1595.88</v>
      </c>
      <c r="H139" s="24" t="s">
        <v>54</v>
      </c>
      <c r="I139" s="17" t="n">
        <v>1786.96</v>
      </c>
      <c r="J139" s="19" t="n">
        <f aca="false">G139-I139</f>
        <v>-191.08</v>
      </c>
      <c r="K139" s="20" t="n">
        <f aca="false">G139^2.37/(G139^2.37+I139^2.37)</f>
        <v>0.433392119721156</v>
      </c>
      <c r="L139" s="21" t="n">
        <f aca="false">(E139/(E139+F139))-K139</f>
        <v>-0.0762492625782983</v>
      </c>
      <c r="M139" s="15" t="n">
        <f aca="false">IF(B139=_xlfn.MAXIFS($B$2:$B$163,$A$2:$A$163,A139),1,0)</f>
        <v>1</v>
      </c>
    </row>
    <row r="140" customFormat="false" ht="15" hidden="false" customHeight="false" outlineLevel="0" collapsed="false">
      <c r="A140" s="9" t="n">
        <v>2024</v>
      </c>
      <c r="B140" s="9" t="n">
        <v>1</v>
      </c>
      <c r="C140" s="9" t="s">
        <v>49</v>
      </c>
      <c r="D140" s="9" t="s">
        <v>121</v>
      </c>
      <c r="E140" s="9" t="n">
        <v>10</v>
      </c>
      <c r="F140" s="9" t="n">
        <v>4</v>
      </c>
      <c r="G140" s="10" t="n">
        <v>1739.92</v>
      </c>
      <c r="H140" s="18" t="s">
        <v>45</v>
      </c>
      <c r="I140" s="10" t="n">
        <v>1490.62</v>
      </c>
      <c r="J140" s="12" t="n">
        <f aca="false">G140-I140</f>
        <v>249.3</v>
      </c>
      <c r="K140" s="13" t="n">
        <f aca="false">G140^2.37/(G140^2.37+I140^2.37)</f>
        <v>0.590616219421604</v>
      </c>
      <c r="L140" s="14" t="n">
        <f aca="false">(E140/(E140+F140))-K140</f>
        <v>0.12366949486411</v>
      </c>
      <c r="M140" s="15" t="n">
        <f aca="false">IF(B140=_xlfn.MAXIFS($B$2:$B$163,$A$2:$A$163,A140),1,0)</f>
        <v>0</v>
      </c>
    </row>
    <row r="141" customFormat="false" ht="15" hidden="false" customHeight="false" outlineLevel="0" collapsed="false">
      <c r="A141" s="16" t="n">
        <v>2024</v>
      </c>
      <c r="B141" s="16" t="n">
        <v>2</v>
      </c>
      <c r="C141" s="16" t="s">
        <v>122</v>
      </c>
      <c r="D141" s="16" t="s">
        <v>123</v>
      </c>
      <c r="E141" s="16" t="n">
        <v>9</v>
      </c>
      <c r="F141" s="16" t="n">
        <v>5</v>
      </c>
      <c r="G141" s="17" t="n">
        <v>1629.94</v>
      </c>
      <c r="H141" s="11" t="s">
        <v>42</v>
      </c>
      <c r="I141" s="17" t="n">
        <v>1550.3</v>
      </c>
      <c r="J141" s="19" t="n">
        <f aca="false">G141-I141</f>
        <v>79.6400000000001</v>
      </c>
      <c r="K141" s="20" t="n">
        <f aca="false">G141^2.37/(G141^2.37+I141^2.37)</f>
        <v>0.529646320489881</v>
      </c>
      <c r="L141" s="21" t="n">
        <f aca="false">(E141/(E141+F141))-K141</f>
        <v>0.113210822367262</v>
      </c>
      <c r="M141" s="15" t="n">
        <f aca="false">IF(B141=_xlfn.MAXIFS($B$2:$B$163,$A$2:$A$163,A141),1,0)</f>
        <v>0</v>
      </c>
    </row>
    <row r="142" customFormat="false" ht="15" hidden="false" customHeight="false" outlineLevel="0" collapsed="false">
      <c r="A142" s="9" t="n">
        <v>2024</v>
      </c>
      <c r="B142" s="9" t="n">
        <v>3</v>
      </c>
      <c r="C142" s="9" t="s">
        <v>55</v>
      </c>
      <c r="D142" s="9" t="s">
        <v>124</v>
      </c>
      <c r="E142" s="9" t="n">
        <v>9</v>
      </c>
      <c r="F142" s="9" t="n">
        <v>5</v>
      </c>
      <c r="G142" s="10" t="n">
        <v>1622.34</v>
      </c>
      <c r="H142" s="23" t="s">
        <v>51</v>
      </c>
      <c r="I142" s="10" t="n">
        <v>1472.68</v>
      </c>
      <c r="J142" s="12" t="n">
        <f aca="false">G142-I142</f>
        <v>149.66</v>
      </c>
      <c r="K142" s="13" t="n">
        <f aca="false">G142^2.37/(G142^2.37+I142^2.37)</f>
        <v>0.557095390563448</v>
      </c>
      <c r="L142" s="14" t="n">
        <f aca="false">(E142/(E142+F142))-K142</f>
        <v>0.0857617522936945</v>
      </c>
      <c r="M142" s="15" t="n">
        <f aca="false">IF(B142=_xlfn.MAXIFS($B$2:$B$163,$A$2:$A$163,A142),1,0)</f>
        <v>0</v>
      </c>
    </row>
    <row r="143" customFormat="false" ht="15" hidden="false" customHeight="false" outlineLevel="0" collapsed="false">
      <c r="A143" s="16" t="n">
        <v>2024</v>
      </c>
      <c r="B143" s="16" t="n">
        <v>4</v>
      </c>
      <c r="C143" s="16" t="s">
        <v>63</v>
      </c>
      <c r="D143" s="16" t="s">
        <v>125</v>
      </c>
      <c r="E143" s="16" t="n">
        <v>8</v>
      </c>
      <c r="F143" s="16" t="n">
        <v>6</v>
      </c>
      <c r="G143" s="17" t="n">
        <v>1806.06</v>
      </c>
      <c r="H143" s="25" t="s">
        <v>67</v>
      </c>
      <c r="I143" s="17" t="n">
        <v>1605.78</v>
      </c>
      <c r="J143" s="19" t="n">
        <f aca="false">G143-I143</f>
        <v>200.28</v>
      </c>
      <c r="K143" s="20" t="n">
        <f aca="false">G143^2.37/(G143^2.37+I143^2.37)</f>
        <v>0.569194427469333</v>
      </c>
      <c r="L143" s="21" t="n">
        <f aca="false">(E143/(E143+F143))-K143</f>
        <v>0.00223414395923827</v>
      </c>
      <c r="M143" s="15" t="n">
        <f aca="false">IF(B143=_xlfn.MAXIFS($B$2:$B$163,$A$2:$A$163,A143),1,0)</f>
        <v>0</v>
      </c>
    </row>
    <row r="144" customFormat="false" ht="15" hidden="false" customHeight="false" outlineLevel="0" collapsed="false">
      <c r="A144" s="9" t="n">
        <v>2024</v>
      </c>
      <c r="B144" s="9" t="n">
        <v>5</v>
      </c>
      <c r="C144" s="9" t="s">
        <v>61</v>
      </c>
      <c r="D144" s="9" t="s">
        <v>126</v>
      </c>
      <c r="E144" s="9" t="n">
        <v>8</v>
      </c>
      <c r="F144" s="9" t="n">
        <v>6</v>
      </c>
      <c r="G144" s="10" t="n">
        <v>1580.1</v>
      </c>
      <c r="H144" s="22" t="s">
        <v>48</v>
      </c>
      <c r="I144" s="10" t="n">
        <v>1528.8</v>
      </c>
      <c r="J144" s="12" t="n">
        <f aca="false">G144-I144</f>
        <v>51.3</v>
      </c>
      <c r="K144" s="13" t="n">
        <f aca="false">G144^2.37/(G144^2.37+I144^2.37)</f>
        <v>0.519545510650544</v>
      </c>
      <c r="L144" s="14" t="n">
        <f aca="false">(E144/(E144+F144))-K144</f>
        <v>0.0518830607780271</v>
      </c>
      <c r="M144" s="15" t="n">
        <f aca="false">IF(B144=_xlfn.MAXIFS($B$2:$B$163,$A$2:$A$163,A144),1,0)</f>
        <v>0</v>
      </c>
    </row>
    <row r="145" customFormat="false" ht="15" hidden="false" customHeight="false" outlineLevel="0" collapsed="false">
      <c r="A145" s="16" t="n">
        <v>2024</v>
      </c>
      <c r="B145" s="16" t="n">
        <v>6</v>
      </c>
      <c r="C145" s="16" t="s">
        <v>40</v>
      </c>
      <c r="D145" s="16" t="s">
        <v>127</v>
      </c>
      <c r="E145" s="16" t="n">
        <v>8</v>
      </c>
      <c r="F145" s="16" t="n">
        <v>6</v>
      </c>
      <c r="G145" s="17" t="n">
        <v>1507.34</v>
      </c>
      <c r="H145" s="25" t="s">
        <v>67</v>
      </c>
      <c r="I145" s="17" t="n">
        <v>1587.02</v>
      </c>
      <c r="J145" s="19" t="n">
        <f aca="false">G145-I145</f>
        <v>-79.6800000000001</v>
      </c>
      <c r="K145" s="20" t="n">
        <f aca="false">G145^2.37/(G145^2.37+I145^2.37)</f>
        <v>0.469517265406683</v>
      </c>
      <c r="L145" s="21" t="n">
        <f aca="false">(E145/(E145+F145))-K145</f>
        <v>0.101911306021888</v>
      </c>
      <c r="M145" s="15" t="n">
        <f aca="false">IF(B145=_xlfn.MAXIFS($B$2:$B$163,$A$2:$A$163,A145),1,0)</f>
        <v>0</v>
      </c>
    </row>
    <row r="146" customFormat="false" ht="15" hidden="false" customHeight="false" outlineLevel="0" collapsed="false">
      <c r="A146" s="9" t="n">
        <v>2024</v>
      </c>
      <c r="B146" s="9" t="n">
        <v>7</v>
      </c>
      <c r="C146" s="9" t="s">
        <v>52</v>
      </c>
      <c r="D146" s="9" t="s">
        <v>128</v>
      </c>
      <c r="E146" s="9" t="n">
        <v>6</v>
      </c>
      <c r="F146" s="9" t="n">
        <v>8</v>
      </c>
      <c r="G146" s="10" t="n">
        <v>1558.76</v>
      </c>
      <c r="H146" s="24" t="s">
        <v>54</v>
      </c>
      <c r="I146" s="10" t="n">
        <v>1492.34</v>
      </c>
      <c r="J146" s="12" t="n">
        <f aca="false">G146-I146</f>
        <v>66.4200000000001</v>
      </c>
      <c r="K146" s="13" t="n">
        <f aca="false">G146^2.37/(G146^2.37+I146^2.37)</f>
        <v>0.525777700566242</v>
      </c>
      <c r="L146" s="14" t="n">
        <f aca="false">(E146/(E146+F146))-K146</f>
        <v>-0.0972062719948134</v>
      </c>
      <c r="M146" s="15" t="n">
        <f aca="false">IF(B146=_xlfn.MAXIFS($B$2:$B$163,$A$2:$A$163,A146),1,0)</f>
        <v>0</v>
      </c>
    </row>
    <row r="147" customFormat="false" ht="15" hidden="false" customHeight="false" outlineLevel="0" collapsed="false">
      <c r="A147" s="16" t="n">
        <v>2024</v>
      </c>
      <c r="B147" s="16" t="n">
        <v>8</v>
      </c>
      <c r="C147" s="16" t="s">
        <v>43</v>
      </c>
      <c r="D147" s="16" t="s">
        <v>129</v>
      </c>
      <c r="E147" s="16" t="n">
        <v>6</v>
      </c>
      <c r="F147" s="16" t="n">
        <v>8</v>
      </c>
      <c r="G147" s="17" t="n">
        <v>1441.3</v>
      </c>
      <c r="H147" s="24" t="s">
        <v>54</v>
      </c>
      <c r="I147" s="17" t="n">
        <v>1634.56</v>
      </c>
      <c r="J147" s="19" t="n">
        <f aca="false">G147-I147</f>
        <v>-193.26</v>
      </c>
      <c r="K147" s="20" t="n">
        <f aca="false">G147^2.37/(G147^2.37+I147^2.37)</f>
        <v>0.425994445665365</v>
      </c>
      <c r="L147" s="21" t="n">
        <f aca="false">(E147/(E147+F147))-K147</f>
        <v>0.00257698290606379</v>
      </c>
      <c r="M147" s="15" t="n">
        <f aca="false">IF(B147=_xlfn.MAXIFS($B$2:$B$163,$A$2:$A$163,A147),1,0)</f>
        <v>0</v>
      </c>
    </row>
    <row r="148" customFormat="false" ht="15" hidden="false" customHeight="false" outlineLevel="0" collapsed="false">
      <c r="A148" s="9" t="n">
        <v>2024</v>
      </c>
      <c r="B148" s="9" t="n">
        <v>9</v>
      </c>
      <c r="C148" s="9" t="s">
        <v>65</v>
      </c>
      <c r="D148" s="9" t="s">
        <v>130</v>
      </c>
      <c r="E148" s="9" t="n">
        <v>6</v>
      </c>
      <c r="F148" s="9" t="n">
        <v>8</v>
      </c>
      <c r="G148" s="10" t="n">
        <v>1385.04</v>
      </c>
      <c r="H148" s="24" t="s">
        <v>54</v>
      </c>
      <c r="I148" s="10" t="n">
        <v>1467.6</v>
      </c>
      <c r="J148" s="12" t="n">
        <f aca="false">G148-I148</f>
        <v>-82.56</v>
      </c>
      <c r="K148" s="13" t="n">
        <f aca="false">G148^2.37/(G148^2.37+I148^2.37)</f>
        <v>0.465748338417482</v>
      </c>
      <c r="L148" s="14" t="n">
        <f aca="false">(E148/(E148+F148))-K148</f>
        <v>-0.037176909846053</v>
      </c>
      <c r="M148" s="15" t="n">
        <f aca="false">IF(B148=_xlfn.MAXIFS($B$2:$B$163,$A$2:$A$163,A148),1,0)</f>
        <v>0</v>
      </c>
    </row>
    <row r="149" customFormat="false" ht="15" hidden="false" customHeight="false" outlineLevel="0" collapsed="false">
      <c r="A149" s="16" t="n">
        <v>2024</v>
      </c>
      <c r="B149" s="16" t="n">
        <v>10</v>
      </c>
      <c r="C149" s="16" t="s">
        <v>118</v>
      </c>
      <c r="D149" s="16" t="s">
        <v>131</v>
      </c>
      <c r="E149" s="16" t="n">
        <v>5</v>
      </c>
      <c r="F149" s="16" t="n">
        <v>9</v>
      </c>
      <c r="G149" s="17" t="n">
        <v>1476.58</v>
      </c>
      <c r="H149" s="24" t="s">
        <v>54</v>
      </c>
      <c r="I149" s="17" t="n">
        <v>1594</v>
      </c>
      <c r="J149" s="19" t="n">
        <f aca="false">G149-I149</f>
        <v>-117.42</v>
      </c>
      <c r="K149" s="20" t="n">
        <f aca="false">G149^2.37/(G149^2.37+I149^2.37)</f>
        <v>0.454786940484673</v>
      </c>
      <c r="L149" s="21" t="n">
        <f aca="false">(E149/(E149+F149))-K149</f>
        <v>-0.0976440833418157</v>
      </c>
      <c r="M149" s="15" t="n">
        <f aca="false">IF(B149=_xlfn.MAXIFS($B$2:$B$163,$A$2:$A$163,A149),1,0)</f>
        <v>0</v>
      </c>
    </row>
    <row r="150" customFormat="false" ht="15" hidden="false" customHeight="false" outlineLevel="0" collapsed="false">
      <c r="A150" s="9" t="n">
        <v>2024</v>
      </c>
      <c r="B150" s="9" t="n">
        <v>11</v>
      </c>
      <c r="C150" s="9" t="s">
        <v>57</v>
      </c>
      <c r="D150" s="9" t="s">
        <v>132</v>
      </c>
      <c r="E150" s="9" t="n">
        <v>5</v>
      </c>
      <c r="F150" s="9" t="n">
        <v>9</v>
      </c>
      <c r="G150" s="10" t="n">
        <v>1390.28</v>
      </c>
      <c r="H150" s="24" t="s">
        <v>54</v>
      </c>
      <c r="I150" s="10" t="n">
        <v>1607.72</v>
      </c>
      <c r="J150" s="12" t="n">
        <f aca="false">G150-I150</f>
        <v>-217.44</v>
      </c>
      <c r="K150" s="13" t="n">
        <f aca="false">G150^2.37/(G150^2.37+I150^2.37)</f>
        <v>0.414743705435219</v>
      </c>
      <c r="L150" s="14" t="n">
        <f aca="false">(E150/(E150+F150))-K150</f>
        <v>-0.0576008482923615</v>
      </c>
      <c r="M150" s="15" t="n">
        <f aca="false">IF(B150=_xlfn.MAXIFS($B$2:$B$163,$A$2:$A$163,A150),1,0)</f>
        <v>0</v>
      </c>
    </row>
    <row r="151" customFormat="false" ht="15" hidden="false" customHeight="false" outlineLevel="0" collapsed="false">
      <c r="A151" s="16" t="n">
        <v>2024</v>
      </c>
      <c r="B151" s="16" t="n">
        <v>12</v>
      </c>
      <c r="C151" s="16" t="s">
        <v>68</v>
      </c>
      <c r="D151" s="16" t="s">
        <v>80</v>
      </c>
      <c r="E151" s="16" t="n">
        <v>4</v>
      </c>
      <c r="F151" s="16" t="n">
        <v>10</v>
      </c>
      <c r="G151" s="17" t="n">
        <v>1350.72</v>
      </c>
      <c r="H151" s="24" t="s">
        <v>54</v>
      </c>
      <c r="I151" s="17" t="n">
        <v>1456.96</v>
      </c>
      <c r="J151" s="19" t="n">
        <f aca="false">G151-I151</f>
        <v>-106.24</v>
      </c>
      <c r="K151" s="20" t="n">
        <f aca="false">G151^2.37/(G151^2.37+I151^2.37)</f>
        <v>0.455259272386273</v>
      </c>
      <c r="L151" s="21" t="n">
        <f aca="false">(E151/(E151+F151))-K151</f>
        <v>-0.169544986671987</v>
      </c>
      <c r="M151" s="15" t="n">
        <f aca="false">IF(B151=_xlfn.MAXIFS($B$2:$B$163,$A$2:$A$163,A151),1,0)</f>
        <v>1</v>
      </c>
    </row>
    <row r="152" customFormat="false" ht="15" hidden="false" customHeight="false" outlineLevel="0" collapsed="false">
      <c r="A152" s="9" t="n">
        <v>2025</v>
      </c>
      <c r="B152" s="9" t="n">
        <v>1</v>
      </c>
      <c r="C152" s="9" t="s">
        <v>63</v>
      </c>
      <c r="D152" s="9" t="s">
        <v>133</v>
      </c>
      <c r="E152" s="9" t="n">
        <v>10</v>
      </c>
      <c r="F152" s="9" t="n">
        <v>4</v>
      </c>
      <c r="G152" s="10" t="n">
        <v>1721.84</v>
      </c>
      <c r="H152" s="23" t="s">
        <v>51</v>
      </c>
      <c r="I152" s="10" t="n">
        <v>1506.66</v>
      </c>
      <c r="J152" s="12" t="n">
        <f aca="false">G152-I152</f>
        <v>215.18</v>
      </c>
      <c r="K152" s="13" t="n">
        <f aca="false">G152^2.37/(G152^2.37+I152^2.37)</f>
        <v>0.578444398934157</v>
      </c>
      <c r="L152" s="14" t="n">
        <f aca="false">(E152/(E152+F152))-K152</f>
        <v>0.135841315351557</v>
      </c>
      <c r="M152" s="15" t="n">
        <f aca="false">IF(B152=_xlfn.MAXIFS($B$2:$B$163,$A$2:$A$163,A152),1,0)</f>
        <v>0</v>
      </c>
    </row>
    <row r="153" customFormat="false" ht="15" hidden="false" customHeight="false" outlineLevel="0" collapsed="false">
      <c r="A153" s="16" t="n">
        <v>2025</v>
      </c>
      <c r="B153" s="16" t="n">
        <v>2</v>
      </c>
      <c r="C153" s="16" t="s">
        <v>55</v>
      </c>
      <c r="D153" s="16" t="s">
        <v>134</v>
      </c>
      <c r="E153" s="16" t="n">
        <v>9</v>
      </c>
      <c r="F153" s="16" t="n">
        <v>5</v>
      </c>
      <c r="G153" s="17" t="n">
        <v>1693.4</v>
      </c>
      <c r="H153" s="22" t="s">
        <v>48</v>
      </c>
      <c r="I153" s="17" t="n">
        <v>1372.32</v>
      </c>
      <c r="J153" s="19" t="n">
        <f aca="false">G153-I153</f>
        <v>321.08</v>
      </c>
      <c r="K153" s="20" t="n">
        <f aca="false">G153^2.37/(G153^2.37+I153^2.37)</f>
        <v>0.622049957158741</v>
      </c>
      <c r="L153" s="21" t="n">
        <f aca="false">(E153/(E153+F153))-K153</f>
        <v>0.0208071856984018</v>
      </c>
      <c r="M153" s="15" t="n">
        <f aca="false">IF(B153=_xlfn.MAXIFS($B$2:$B$163,$A$2:$A$163,A153),1,0)</f>
        <v>0</v>
      </c>
    </row>
    <row r="154" customFormat="false" ht="15" hidden="false" customHeight="false" outlineLevel="0" collapsed="false">
      <c r="A154" s="9" t="n">
        <v>2025</v>
      </c>
      <c r="B154" s="9" t="n">
        <v>3</v>
      </c>
      <c r="C154" s="9" t="s">
        <v>61</v>
      </c>
      <c r="D154" s="9" t="s">
        <v>135</v>
      </c>
      <c r="E154" s="9" t="n">
        <v>8</v>
      </c>
      <c r="F154" s="9" t="n">
        <v>6</v>
      </c>
      <c r="G154" s="10" t="n">
        <v>1628.8</v>
      </c>
      <c r="H154" s="11" t="s">
        <v>42</v>
      </c>
      <c r="I154" s="10" t="n">
        <v>1503.26</v>
      </c>
      <c r="J154" s="12" t="n">
        <f aca="false">G154-I154</f>
        <v>125.54</v>
      </c>
      <c r="K154" s="13" t="n">
        <f aca="false">G154^2.37/(G154^2.37+I154^2.37)</f>
        <v>0.547380334948443</v>
      </c>
      <c r="L154" s="14" t="n">
        <f aca="false">(E154/(E154+F154))-K154</f>
        <v>0.0240482364801281</v>
      </c>
      <c r="M154" s="15" t="n">
        <f aca="false">IF(B154=_xlfn.MAXIFS($B$2:$B$163,$A$2:$A$163,A154),1,0)</f>
        <v>0</v>
      </c>
    </row>
    <row r="155" customFormat="false" ht="15" hidden="false" customHeight="false" outlineLevel="0" collapsed="false">
      <c r="A155" s="16" t="n">
        <v>2025</v>
      </c>
      <c r="B155" s="16" t="n">
        <v>4</v>
      </c>
      <c r="C155" s="16" t="s">
        <v>40</v>
      </c>
      <c r="D155" s="16" t="s">
        <v>136</v>
      </c>
      <c r="E155" s="16" t="n">
        <v>8</v>
      </c>
      <c r="F155" s="16" t="n">
        <v>6</v>
      </c>
      <c r="G155" s="17" t="n">
        <v>1546.72</v>
      </c>
      <c r="H155" s="18" t="s">
        <v>45</v>
      </c>
      <c r="I155" s="17" t="n">
        <v>1575.38</v>
      </c>
      <c r="J155" s="19" t="n">
        <f aca="false">G155-I155</f>
        <v>-28.6600000000001</v>
      </c>
      <c r="K155" s="20" t="n">
        <f aca="false">G155^2.37/(G155^2.37+I155^2.37)</f>
        <v>0.489123443754458</v>
      </c>
      <c r="L155" s="21" t="n">
        <f aca="false">(E155/(E155+F155))-K155</f>
        <v>0.0823051276741135</v>
      </c>
      <c r="M155" s="15" t="n">
        <f aca="false">IF(B155=_xlfn.MAXIFS($B$2:$B$163,$A$2:$A$163,A155),1,0)</f>
        <v>0</v>
      </c>
    </row>
    <row r="156" customFormat="false" ht="15" hidden="false" customHeight="false" outlineLevel="0" collapsed="false">
      <c r="A156" s="9" t="n">
        <v>2025</v>
      </c>
      <c r="B156" s="9" t="n">
        <v>5</v>
      </c>
      <c r="C156" s="9" t="s">
        <v>68</v>
      </c>
      <c r="D156" s="9" t="s">
        <v>80</v>
      </c>
      <c r="E156" s="9" t="n">
        <v>8</v>
      </c>
      <c r="F156" s="9" t="n">
        <v>6</v>
      </c>
      <c r="G156" s="10" t="n">
        <v>1507.82</v>
      </c>
      <c r="H156" s="25" t="s">
        <v>67</v>
      </c>
      <c r="I156" s="10" t="n">
        <v>1530.16</v>
      </c>
      <c r="J156" s="12" t="n">
        <f aca="false">G156-I156</f>
        <v>-22.3400000000001</v>
      </c>
      <c r="K156" s="13" t="n">
        <f aca="false">G156^2.37/(G156^2.37+I156^2.37)</f>
        <v>0.491286744109087</v>
      </c>
      <c r="L156" s="14" t="n">
        <f aca="false">(E156/(E156+F156))-K156</f>
        <v>0.0801418273194844</v>
      </c>
      <c r="M156" s="15" t="n">
        <f aca="false">IF(B156=_xlfn.MAXIFS($B$2:$B$163,$A$2:$A$163,A156),1,0)</f>
        <v>0</v>
      </c>
    </row>
    <row r="157" customFormat="false" ht="15" hidden="false" customHeight="false" outlineLevel="0" collapsed="false">
      <c r="A157" s="16" t="n">
        <v>2025</v>
      </c>
      <c r="B157" s="16" t="n">
        <v>6</v>
      </c>
      <c r="C157" s="16" t="s">
        <v>49</v>
      </c>
      <c r="D157" s="16" t="s">
        <v>137</v>
      </c>
      <c r="E157" s="16" t="n">
        <v>8</v>
      </c>
      <c r="F157" s="16" t="n">
        <v>6</v>
      </c>
      <c r="G157" s="17" t="n">
        <v>1437.24</v>
      </c>
      <c r="H157" s="25" t="s">
        <v>67</v>
      </c>
      <c r="I157" s="17" t="n">
        <v>1423.84</v>
      </c>
      <c r="J157" s="19" t="n">
        <f aca="false">G157-I157</f>
        <v>13.4000000000001</v>
      </c>
      <c r="K157" s="20" t="n">
        <f aca="false">G157^2.37/(G157^2.37+I157^2.37)</f>
        <v>0.505549814746002</v>
      </c>
      <c r="L157" s="21" t="n">
        <f aca="false">(E157/(E157+F157))-K157</f>
        <v>0.0658787566825696</v>
      </c>
      <c r="M157" s="15" t="n">
        <f aca="false">IF(B157=_xlfn.MAXIFS($B$2:$B$163,$A$2:$A$163,A157),1,0)</f>
        <v>0</v>
      </c>
    </row>
    <row r="158" customFormat="false" ht="15" hidden="false" customHeight="false" outlineLevel="0" collapsed="false">
      <c r="A158" s="9" t="n">
        <v>2025</v>
      </c>
      <c r="B158" s="9" t="n">
        <v>7</v>
      </c>
      <c r="C158" s="9" t="s">
        <v>65</v>
      </c>
      <c r="D158" s="9" t="s">
        <v>130</v>
      </c>
      <c r="E158" s="9" t="n">
        <v>7</v>
      </c>
      <c r="F158" s="9" t="n">
        <v>7</v>
      </c>
      <c r="G158" s="10" t="n">
        <v>1587</v>
      </c>
      <c r="H158" s="24" t="s">
        <v>54</v>
      </c>
      <c r="I158" s="10" t="n">
        <v>1588.1</v>
      </c>
      <c r="J158" s="12" t="n">
        <f aca="false">G158-I158</f>
        <v>-1.09999999999991</v>
      </c>
      <c r="K158" s="13" t="n">
        <f aca="false">G158^2.37/(G158^2.37+I158^2.37)</f>
        <v>0.499589461825068</v>
      </c>
      <c r="L158" s="14" t="n">
        <f aca="false">(E158/(E158+F158))-K158</f>
        <v>0.00041053817493153</v>
      </c>
      <c r="M158" s="15" t="n">
        <f aca="false">IF(B158=_xlfn.MAXIFS($B$2:$B$163,$A$2:$A$163,A158),1,0)</f>
        <v>0</v>
      </c>
    </row>
    <row r="159" customFormat="false" ht="15" hidden="false" customHeight="false" outlineLevel="0" collapsed="false">
      <c r="A159" s="16" t="n">
        <v>2025</v>
      </c>
      <c r="B159" s="16" t="n">
        <v>8</v>
      </c>
      <c r="C159" s="16" t="s">
        <v>118</v>
      </c>
      <c r="D159" s="16" t="s">
        <v>131</v>
      </c>
      <c r="E159" s="16" t="n">
        <v>7</v>
      </c>
      <c r="F159" s="16" t="n">
        <v>7</v>
      </c>
      <c r="G159" s="17" t="n">
        <v>1484.86</v>
      </c>
      <c r="H159" s="24" t="s">
        <v>54</v>
      </c>
      <c r="I159" s="17" t="n">
        <v>1500.84</v>
      </c>
      <c r="J159" s="19" t="n">
        <f aca="false">G159-I159</f>
        <v>-15.98</v>
      </c>
      <c r="K159" s="20" t="n">
        <f aca="false">G159^2.37/(G159^2.37+I159^2.37)</f>
        <v>0.493657947806747</v>
      </c>
      <c r="L159" s="21" t="n">
        <f aca="false">(E159/(E159+F159))-K159</f>
        <v>0.00634205219325335</v>
      </c>
      <c r="M159" s="15" t="n">
        <f aca="false">IF(B159=_xlfn.MAXIFS($B$2:$B$163,$A$2:$A$163,A159),1,0)</f>
        <v>0</v>
      </c>
    </row>
    <row r="160" customFormat="false" ht="15" hidden="false" customHeight="false" outlineLevel="0" collapsed="false">
      <c r="A160" s="9" t="n">
        <v>2025</v>
      </c>
      <c r="B160" s="9" t="n">
        <v>9</v>
      </c>
      <c r="C160" s="9" t="s">
        <v>52</v>
      </c>
      <c r="D160" s="9" t="s">
        <v>138</v>
      </c>
      <c r="E160" s="9" t="n">
        <v>6</v>
      </c>
      <c r="F160" s="9" t="n">
        <v>8</v>
      </c>
      <c r="G160" s="10" t="n">
        <v>1389.5</v>
      </c>
      <c r="H160" s="24" t="s">
        <v>54</v>
      </c>
      <c r="I160" s="10" t="n">
        <v>1476.3</v>
      </c>
      <c r="J160" s="12" t="n">
        <f aca="false">G160-I160</f>
        <v>-86.8</v>
      </c>
      <c r="K160" s="13" t="n">
        <f aca="false">G160^2.37/(G160^2.37+I160^2.37)</f>
        <v>0.464159047080431</v>
      </c>
      <c r="L160" s="14" t="n">
        <f aca="false">(E160/(E160+F160))-K160</f>
        <v>-0.0355876185090023</v>
      </c>
      <c r="M160" s="15" t="n">
        <f aca="false">IF(B160=_xlfn.MAXIFS($B$2:$B$163,$A$2:$A$163,A160),1,0)</f>
        <v>0</v>
      </c>
    </row>
    <row r="161" customFormat="false" ht="15" hidden="false" customHeight="false" outlineLevel="0" collapsed="false">
      <c r="A161" s="16" t="n">
        <v>2025</v>
      </c>
      <c r="B161" s="16" t="n">
        <v>10</v>
      </c>
      <c r="C161" s="16" t="s">
        <v>43</v>
      </c>
      <c r="D161" s="16" t="s">
        <v>139</v>
      </c>
      <c r="E161" s="16" t="n">
        <v>5</v>
      </c>
      <c r="F161" s="16" t="n">
        <v>9</v>
      </c>
      <c r="G161" s="17" t="n">
        <v>1499.1</v>
      </c>
      <c r="H161" s="24" t="s">
        <v>54</v>
      </c>
      <c r="I161" s="17" t="n">
        <v>1581.74</v>
      </c>
      <c r="J161" s="19" t="n">
        <f aca="false">G161-I161</f>
        <v>-82.6400000000001</v>
      </c>
      <c r="K161" s="20" t="n">
        <f aca="false">G161^2.37/(G161^2.37+I161^2.37)</f>
        <v>0.468248889699615</v>
      </c>
      <c r="L161" s="21" t="n">
        <f aca="false">(E161/(E161+F161))-K161</f>
        <v>-0.111106032556758</v>
      </c>
      <c r="M161" s="15" t="n">
        <f aca="false">IF(B161=_xlfn.MAXIFS($B$2:$B$163,$A$2:$A$163,A161),1,0)</f>
        <v>0</v>
      </c>
    </row>
    <row r="162" customFormat="false" ht="15" hidden="false" customHeight="false" outlineLevel="0" collapsed="false">
      <c r="A162" s="9" t="n">
        <v>2025</v>
      </c>
      <c r="B162" s="9" t="n">
        <v>11</v>
      </c>
      <c r="C162" s="9" t="s">
        <v>57</v>
      </c>
      <c r="D162" s="9" t="s">
        <v>140</v>
      </c>
      <c r="E162" s="9" t="n">
        <v>5</v>
      </c>
      <c r="F162" s="9" t="n">
        <v>9</v>
      </c>
      <c r="G162" s="10" t="n">
        <v>1362.58</v>
      </c>
      <c r="H162" s="24" t="s">
        <v>54</v>
      </c>
      <c r="I162" s="10" t="n">
        <v>1503.6</v>
      </c>
      <c r="J162" s="12" t="n">
        <f aca="false">G162-I162</f>
        <v>-141.02</v>
      </c>
      <c r="K162" s="13" t="n">
        <f aca="false">G162^2.37/(G162^2.37+I162^2.37)</f>
        <v>0.441912716663478</v>
      </c>
      <c r="L162" s="14" t="n">
        <f aca="false">(E162/(E162+F162))-K162</f>
        <v>-0.0847698595206207</v>
      </c>
      <c r="M162" s="15" t="n">
        <f aca="false">IF(B162=_xlfn.MAXIFS($B$2:$B$163,$A$2:$A$163,A162),1,0)</f>
        <v>0</v>
      </c>
    </row>
    <row r="163" customFormat="false" ht="15" hidden="false" customHeight="false" outlineLevel="0" collapsed="false">
      <c r="A163" s="16" t="n">
        <v>2025</v>
      </c>
      <c r="B163" s="16" t="n">
        <v>12</v>
      </c>
      <c r="C163" s="16" t="s">
        <v>122</v>
      </c>
      <c r="D163" s="16" t="s">
        <v>123</v>
      </c>
      <c r="E163" s="16" t="n">
        <v>3</v>
      </c>
      <c r="F163" s="16" t="n">
        <v>11</v>
      </c>
      <c r="G163" s="17" t="n">
        <v>1313.34</v>
      </c>
      <c r="H163" s="24" t="s">
        <v>54</v>
      </c>
      <c r="I163" s="17" t="n">
        <v>1610</v>
      </c>
      <c r="J163" s="19" t="n">
        <f aca="false">G163-I163</f>
        <v>-296.66</v>
      </c>
      <c r="K163" s="20" t="n">
        <f aca="false">G163^2.37/(G163^2.37+I163^2.37)</f>
        <v>0.381620477265004</v>
      </c>
      <c r="L163" s="21" t="n">
        <f aca="false">(E163/(E163+F163))-K163</f>
        <v>-0.167334762979289</v>
      </c>
      <c r="M163" s="15" t="n">
        <f aca="false">IF(B163=_xlfn.MAXIFS($B$2:$B$163,$A$2:$A$163,A163),1,0)</f>
        <v>1</v>
      </c>
    </row>
  </sheetData>
  <autoFilter ref="A1:M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26"/>
  </cols>
  <sheetData>
    <row r="1" customFormat="false" ht="15" hidden="false" customHeight="false" outlineLevel="0" collapsed="false">
      <c r="A1" s="7" t="s">
        <v>27</v>
      </c>
      <c r="B1" s="7" t="s">
        <v>48</v>
      </c>
      <c r="C1" s="7" t="s">
        <v>51</v>
      </c>
      <c r="D1" s="7" t="s">
        <v>45</v>
      </c>
      <c r="E1" s="7" t="s">
        <v>42</v>
      </c>
    </row>
    <row r="2" customFormat="false" ht="15" hidden="false" customHeight="false" outlineLevel="0" collapsed="false">
      <c r="A2" s="26" t="n">
        <v>2012</v>
      </c>
      <c r="B2" s="27" t="str">
        <f aca="false">INDEX('All Seasons'!$D$2:$D$163,MATCH(1,('All Seasons'!$A$2:$A$163=A2)*('All Seasons'!$H$2:$H$163="Champion"),0))</f>
        <v>The Under Achievers</v>
      </c>
      <c r="C2" s="27" t="str">
        <f aca="false">INDEX('All Seasons'!$D$2:$D$163,MATCH(1,('All Seasons'!$A$2:$A$163=A2)*('All Seasons'!$H$2:$H$163="Runner-Up"),0))</f>
        <v>Team KSOD</v>
      </c>
      <c r="D2" s="27" t="str">
        <f aca="false">INDEX('All Seasons'!$D$2:$D$163,MATCH(1,('All Seasons'!$A$2:$A$163=A2)*('All Seasons'!$H$2:$H$163="3rd Place"),0))</f>
        <v>Ray Rice Elevator Party</v>
      </c>
      <c r="E2" s="27" t="str">
        <f aca="false">INDEX('All Seasons'!$D$2:$D$163,MATCH(1,('All Seasons'!$A$2:$A$163=A2)*('All Seasons'!$H$2:$H$163="4th Place"),0))</f>
        <v>Butt Fumble</v>
      </c>
    </row>
    <row r="3" customFormat="false" ht="15" hidden="false" customHeight="false" outlineLevel="0" collapsed="false">
      <c r="A3" s="28" t="n">
        <v>2013</v>
      </c>
      <c r="B3" s="29" t="str">
        <f aca="false">INDEX('All Seasons'!$D$2:$D$163,MATCH(1,('All Seasons'!$A$2:$A$163=A3)*('All Seasons'!$H$2:$H$163="Champion"),0))</f>
        <v>I'm Jonesin For De Hops</v>
      </c>
      <c r="C3" s="29" t="str">
        <f aca="false">INDEX('All Seasons'!$D$2:$D$163,MATCH(1,('All Seasons'!$A$2:$A$163=A3)*('All Seasons'!$H$2:$H$163="Runner-Up"),0))</f>
        <v>Dear Kevin White People</v>
      </c>
      <c r="D3" s="29" t="str">
        <f aca="false">INDEX('All Seasons'!$D$2:$D$163,MATCH(1,('All Seasons'!$A$2:$A$163=A3)*('All Seasons'!$H$2:$H$163="3rd Place"),0))</f>
        <v>Chalupa Batmans</v>
      </c>
      <c r="E3" s="29" t="str">
        <f aca="false">INDEX('All Seasons'!$D$2:$D$163,MATCH(1,('All Seasons'!$A$2:$A$163=A3)*('All Seasons'!$H$2:$H$163="4th Place"),0))</f>
        <v>I'm Diggin' This Gurley</v>
      </c>
    </row>
    <row r="4" customFormat="false" ht="15" hidden="false" customHeight="false" outlineLevel="0" collapsed="false">
      <c r="A4" s="26" t="n">
        <v>2014</v>
      </c>
      <c r="B4" s="27" t="str">
        <f aca="false">INDEX('All Seasons'!$D$2:$D$163,MATCH(1,('All Seasons'!$A$2:$A$163=A4)*('All Seasons'!$H$2:$H$163="Champion"),0))</f>
        <v>I'm Jonesin For De Hops</v>
      </c>
      <c r="C4" s="27" t="str">
        <f aca="false">INDEX('All Seasons'!$D$2:$D$163,MATCH(1,('All Seasons'!$A$2:$A$163=A4)*('All Seasons'!$H$2:$H$163="Runner-Up"),0))</f>
        <v>Team KSOD</v>
      </c>
      <c r="D4" s="27" t="str">
        <f aca="false">INDEX('All Seasons'!$D$2:$D$163,MATCH(1,('All Seasons'!$A$2:$A$163=A4)*('All Seasons'!$H$2:$H$163="3rd Place"),0))</f>
        <v>Chalupa Batmans</v>
      </c>
      <c r="E4" s="27" t="str">
        <f aca="false">INDEX('All Seasons'!$D$2:$D$163,MATCH(1,('All Seasons'!$A$2:$A$163=A4)*('All Seasons'!$H$2:$H$163="4th Place"),0))</f>
        <v>Dear Kevin White People</v>
      </c>
    </row>
    <row r="5" customFormat="false" ht="15" hidden="false" customHeight="false" outlineLevel="0" collapsed="false">
      <c r="A5" s="28" t="n">
        <v>2015</v>
      </c>
      <c r="B5" s="29" t="str">
        <f aca="false">INDEX('All Seasons'!$D$2:$D$163,MATCH(1,('All Seasons'!$A$2:$A$163=A5)*('All Seasons'!$H$2:$H$163="Champion"),0))</f>
        <v>Butt Fumble</v>
      </c>
      <c r="C5" s="29" t="str">
        <f aca="false">INDEX('All Seasons'!$D$2:$D$163,MATCH(1,('All Seasons'!$A$2:$A$163=A5)*('All Seasons'!$H$2:$H$163="Runner-Up"),0))</f>
        <v>I'm Jonesin For De Hops</v>
      </c>
      <c r="D5" s="29" t="str">
        <f aca="false">INDEX('All Seasons'!$D$2:$D$163,MATCH(1,('All Seasons'!$A$2:$A$163=A5)*('All Seasons'!$H$2:$H$163="3rd Place"),0))</f>
        <v>Down with ODB? Yeah u know me</v>
      </c>
      <c r="E5" s="29" t="str">
        <f aca="false">INDEX('All Seasons'!$D$2:$D$163,MATCH(1,('All Seasons'!$A$2:$A$163=A5)*('All Seasons'!$H$2:$H$163="4th Place"),0))</f>
        <v>Dear Kevin White People</v>
      </c>
    </row>
    <row r="6" customFormat="false" ht="15" hidden="false" customHeight="false" outlineLevel="0" collapsed="false">
      <c r="A6" s="26" t="n">
        <v>2016</v>
      </c>
      <c r="B6" s="27" t="str">
        <f aca="false">INDEX('All Seasons'!$D$2:$D$163,MATCH(1,('All Seasons'!$A$2:$A$163=A6)*('All Seasons'!$H$2:$H$163="Champion"),0))</f>
        <v>Butt Fumble</v>
      </c>
      <c r="C6" s="27" t="str">
        <f aca="false">INDEX('All Seasons'!$D$2:$D$163,MATCH(1,('All Seasons'!$A$2:$A$163=A6)*('All Seasons'!$H$2:$H$163="Runner-Up"),0))</f>
        <v>Jimmy Graham's Crackers</v>
      </c>
      <c r="D6" s="27" t="str">
        <f aca="false">INDEX('All Seasons'!$D$2:$D$163,MATCH(1,('All Seasons'!$A$2:$A$163=A6)*('All Seasons'!$H$2:$H$163="3rd Place"),0))</f>
        <v>WhoFalseStarted FML</v>
      </c>
      <c r="E6" s="27" t="str">
        <f aca="false">INDEX('All Seasons'!$D$2:$D$163,MATCH(1,('All Seasons'!$A$2:$A$163=A6)*('All Seasons'!$H$2:$H$163="4th Place"),0))</f>
        <v>Chalupa Batmans</v>
      </c>
    </row>
    <row r="7" customFormat="false" ht="15" hidden="false" customHeight="false" outlineLevel="0" collapsed="false">
      <c r="A7" s="28" t="n">
        <v>2017</v>
      </c>
      <c r="B7" s="29" t="str">
        <f aca="false">INDEX('All Seasons'!$D$2:$D$163,MATCH(1,('All Seasons'!$A$2:$A$163=A7)*('All Seasons'!$H$2:$H$163="Champion"),0))</f>
        <v>I'm Diggin' This Gurley</v>
      </c>
      <c r="C7" s="29" t="str">
        <f aca="false">INDEX('All Seasons'!$D$2:$D$163,MATCH(1,('All Seasons'!$A$2:$A$163=A7)*('All Seasons'!$H$2:$H$163="Runner-Up"),0))</f>
        <v>The Under Achievers</v>
      </c>
      <c r="D7" s="29" t="str">
        <f aca="false">INDEX('All Seasons'!$D$2:$D$163,MATCH(1,('All Seasons'!$A$2:$A$163=A7)*('All Seasons'!$H$2:$H$163="3rd Place"),0))</f>
        <v>Team KSOD</v>
      </c>
      <c r="E7" s="29" t="str">
        <f aca="false">INDEX('All Seasons'!$D$2:$D$163,MATCH(1,('All Seasons'!$A$2:$A$163=A7)*('All Seasons'!$H$2:$H$163="4th Place"),0))</f>
        <v>Dear Kevin White People</v>
      </c>
    </row>
    <row r="8" customFormat="false" ht="15" hidden="false" customHeight="false" outlineLevel="0" collapsed="false">
      <c r="A8" s="26" t="n">
        <v>2018</v>
      </c>
      <c r="B8" s="27" t="str">
        <f aca="false">INDEX('All Seasons'!$D$2:$D$163,MATCH(1,('All Seasons'!$A$2:$A$163=A8)*('All Seasons'!$H$2:$H$163="Champion"),0))</f>
        <v>Team KSOD</v>
      </c>
      <c r="C8" s="27" t="str">
        <f aca="false">INDEX('All Seasons'!$D$2:$D$163,MATCH(1,('All Seasons'!$A$2:$A$163=A8)*('All Seasons'!$H$2:$H$163="Runner-Up"),0))</f>
        <v>Butt Fumble</v>
      </c>
      <c r="D8" s="27" t="str">
        <f aca="false">INDEX('All Seasons'!$D$2:$D$163,MATCH(1,('All Seasons'!$A$2:$A$163=A8)*('All Seasons'!$H$2:$H$163="3rd Place"),0))</f>
        <v>Chalupa Batmans</v>
      </c>
      <c r="E8" s="27" t="str">
        <f aca="false">INDEX('All Seasons'!$D$2:$D$163,MATCH(1,('All Seasons'!$A$2:$A$163=A8)*('All Seasons'!$H$2:$H$163="4th Place"),0))</f>
        <v>I'm Diggin' This Gurley</v>
      </c>
    </row>
    <row r="9" customFormat="false" ht="15" hidden="false" customHeight="false" outlineLevel="0" collapsed="false">
      <c r="A9" s="28" t="n">
        <v>2019</v>
      </c>
      <c r="B9" s="29" t="str">
        <f aca="false">INDEX('All Seasons'!$D$2:$D$163,MATCH(1,('All Seasons'!$A$2:$A$163=A9)*('All Seasons'!$H$2:$H$163="Champion"),0))</f>
        <v>CAM JUju DIGGs IT!?!?</v>
      </c>
      <c r="C9" s="29" t="str">
        <f aca="false">INDEX('All Seasons'!$D$2:$D$163,MATCH(1,('All Seasons'!$A$2:$A$163=A9)*('All Seasons'!$H$2:$H$163="Runner-Up"),0))</f>
        <v>Multiple Goregasms</v>
      </c>
      <c r="D9" s="29" t="str">
        <f aca="false">INDEX('All Seasons'!$D$2:$D$163,MATCH(1,('All Seasons'!$A$2:$A$163=A9)*('All Seasons'!$H$2:$H$163="3rd Place"),0))</f>
        <v>Le'Veon on a Jet Plane</v>
      </c>
      <c r="E9" s="29" t="str">
        <f aca="false">INDEX('All Seasons'!$D$2:$D$163,MATCH(1,('All Seasons'!$A$2:$A$163=A9)*('All Seasons'!$H$2:$H$163="4th Place"),0))</f>
        <v>My Ball Zach Ertz</v>
      </c>
    </row>
    <row r="10" customFormat="false" ht="15" hidden="false" customHeight="false" outlineLevel="0" collapsed="false">
      <c r="A10" s="26" t="n">
        <v>2020</v>
      </c>
      <c r="B10" s="27" t="str">
        <f aca="false">INDEX('All Seasons'!$D$2:$D$163,MATCH(1,('All Seasons'!$A$2:$A$163=A10)*('All Seasons'!$H$2:$H$163="Champion"),0))</f>
        <v>Golden Tees</v>
      </c>
      <c r="C10" s="27" t="str">
        <f aca="false">INDEX('All Seasons'!$D$2:$D$163,MATCH(1,('All Seasons'!$A$2:$A$163=A10)*('All Seasons'!$H$2:$H$163="Runner-Up"),0))</f>
        <v>You Lockett Up!</v>
      </c>
      <c r="D10" s="27" t="str">
        <f aca="false">INDEX('All Seasons'!$D$2:$D$163,MATCH(1,('All Seasons'!$A$2:$A$163=A10)*('All Seasons'!$H$2:$H$163="3rd Place"),0))</f>
        <v>Pump the Drakes</v>
      </c>
      <c r="E10" s="27" t="str">
        <f aca="false">INDEX('All Seasons'!$D$2:$D$163,MATCH(1,('All Seasons'!$A$2:$A$163=A10)*('All Seasons'!$H$2:$H$163="4th Place"),0))</f>
        <v>KSOD</v>
      </c>
    </row>
    <row r="11" customFormat="false" ht="15" hidden="false" customHeight="false" outlineLevel="0" collapsed="false">
      <c r="A11" s="28" t="n">
        <v>2021</v>
      </c>
      <c r="B11" s="29" t="str">
        <f aca="false">INDEX('All Seasons'!$D$2:$D$163,MATCH(1,('All Seasons'!$A$2:$A$163=A11)*('All Seasons'!$H$2:$H$163="Champion"),0))</f>
        <v>Adams Family of Receivers</v>
      </c>
      <c r="C11" s="29" t="str">
        <f aca="false">INDEX('All Seasons'!$D$2:$D$163,MATCH(1,('All Seasons'!$A$2:$A$163=A11)*('All Seasons'!$H$2:$H$163="Runner-Up"),0))</f>
        <v>Lights, Kamara, Action!</v>
      </c>
      <c r="D11" s="29" t="str">
        <f aca="false">INDEX('All Seasons'!$D$2:$D$163,MATCH(1,('All Seasons'!$A$2:$A$163=A11)*('All Seasons'!$H$2:$H$163="3rd Place"),0))</f>
        <v>He Hurts Me</v>
      </c>
      <c r="E11" s="29" t="str">
        <f aca="false">INDEX('All Seasons'!$D$2:$D$163,MATCH(1,('All Seasons'!$A$2:$A$163=A11)*('All Seasons'!$H$2:$H$163="4th Place"),0))</f>
        <v>kdavis</v>
      </c>
    </row>
    <row r="12" customFormat="false" ht="15" hidden="false" customHeight="false" outlineLevel="0" collapsed="false">
      <c r="A12" s="26" t="n">
        <v>2022</v>
      </c>
      <c r="B12" s="27" t="str">
        <f aca="false">INDEX('All Seasons'!$D$2:$D$163,MATCH(1,('All Seasons'!$A$2:$A$163=A12)*('All Seasons'!$H$2:$H$163="Champion"),0))</f>
        <v>Kelce You Later</v>
      </c>
      <c r="C12" s="27" t="str">
        <f aca="false">INDEX('All Seasons'!$D$2:$D$163,MATCH(1,('All Seasons'!$A$2:$A$163=A12)*('All Seasons'!$H$2:$H$163="Runner-Up"),0))</f>
        <v>Gettin' Diggy With It</v>
      </c>
      <c r="D12" s="27" t="str">
        <f aca="false">INDEX('All Seasons'!$D$2:$D$163,MATCH(1,('All Seasons'!$A$2:$A$163=A12)*('All Seasons'!$H$2:$H$163="3rd Place"),0))</f>
        <v>Chubby Chasers</v>
      </c>
      <c r="E12" s="27" t="str">
        <f aca="false">INDEX('All Seasons'!$D$2:$D$163,MATCH(1,('All Seasons'!$A$2:$A$163=A12)*('All Seasons'!$H$2:$H$163="4th Place"),0))</f>
        <v>CDL Required</v>
      </c>
    </row>
    <row r="13" customFormat="false" ht="15" hidden="false" customHeight="false" outlineLevel="0" collapsed="false">
      <c r="A13" s="28" t="n">
        <v>2023</v>
      </c>
      <c r="B13" s="29" t="str">
        <f aca="false">INDEX('All Seasons'!$D$2:$D$163,MATCH(1,('All Seasons'!$A$2:$A$163=A13)*('All Seasons'!$H$2:$H$163="Champion"),0))</f>
        <v>Play The Fields</v>
      </c>
      <c r="C13" s="29" t="str">
        <f aca="false">INDEX('All Seasons'!$D$2:$D$163,MATCH(1,('All Seasons'!$A$2:$A$163=A13)*('All Seasons'!$H$2:$H$163="Runner-Up"),0))</f>
        <v>Super Ja'Marrio Brothers</v>
      </c>
      <c r="D13" s="29" t="str">
        <f aca="false">INDEX('All Seasons'!$D$2:$D$163,MATCH(1,('All Seasons'!$A$2:$A$163=A13)*('All Seasons'!$H$2:$H$163="3rd Place"),0))</f>
        <v>The Kelce Era</v>
      </c>
      <c r="E13" s="29" t="str">
        <f aca="false">INDEX('All Seasons'!$D$2:$D$163,MATCH(1,('All Seasons'!$A$2:$A$163=A13)*('All Seasons'!$H$2:$H$163="4th Place"),0))</f>
        <v>Olave it</v>
      </c>
    </row>
    <row r="14" customFormat="false" ht="15" hidden="false" customHeight="false" outlineLevel="0" collapsed="false">
      <c r="A14" s="26" t="n">
        <v>2024</v>
      </c>
      <c r="B14" s="27" t="str">
        <f aca="false">INDEX('All Seasons'!$D$2:$D$163,MATCH(1,('All Seasons'!$A$2:$A$163=A14)*('All Seasons'!$H$2:$H$163="Champion"),0))</f>
        <v>Noon Tee Time</v>
      </c>
      <c r="C14" s="27" t="str">
        <f aca="false">INDEX('All Seasons'!$D$2:$D$163,MATCH(1,('All Seasons'!$A$2:$A$163=A14)*('All Seasons'!$H$2:$H$163="Runner-Up"),0))</f>
        <v>Howdy Nabers!</v>
      </c>
      <c r="D14" s="27" t="str">
        <f aca="false">INDEX('All Seasons'!$D$2:$D$163,MATCH(1,('All Seasons'!$A$2:$A$163=A14)*('All Seasons'!$H$2:$H$163="3rd Place"),0))</f>
        <v>Puka and Rally</v>
      </c>
      <c r="E14" s="27" t="str">
        <f aca="false">INDEX('All Seasons'!$D$2:$D$163,MATCH(1,('All Seasons'!$A$2:$A$163=A14)*('All Seasons'!$H$2:$H$163="4th Place"),0))</f>
        <v>M.A.K.A</v>
      </c>
    </row>
    <row r="15" customFormat="false" ht="15" hidden="false" customHeight="false" outlineLevel="0" collapsed="false">
      <c r="A15" s="28" t="n">
        <v>2025</v>
      </c>
      <c r="B15" s="29" t="str">
        <f aca="false">INDEX('All Seasons'!$D$2:$D$163,MATCH(1,('All Seasons'!$A$2:$A$163=A15)*('All Seasons'!$H$2:$H$163="Champion"),0))</f>
        <v>Run CM-Sun God</v>
      </c>
      <c r="C15" s="29" t="str">
        <f aca="false">INDEX('All Seasons'!$D$2:$D$163,MATCH(1,('All Seasons'!$A$2:$A$163=A15)*('All Seasons'!$H$2:$H$163="Runner-Up"),0))</f>
        <v>Gettin' Jeanty With It</v>
      </c>
      <c r="D15" s="29" t="str">
        <f aca="false">INDEX('All Seasons'!$D$2:$D$163,MATCH(1,('All Seasons'!$A$2:$A$163=A15)*('All Seasons'!$H$2:$H$163="3rd Place"),0))</f>
        <v>CeeDeez Nuts 2.0</v>
      </c>
      <c r="E15" s="29" t="str">
        <f aca="false">INDEX('All Seasons'!$D$2:$D$163,MATCH(1,('All Seasons'!$A$2:$A$163=A15)*('All Seasons'!$H$2:$H$163="4th Place"),0))</f>
        <v>Jacob's Ladder To 1st</v>
      </c>
    </row>
    <row r="17" customFormat="false" ht="15" hidden="false" customHeight="false" outlineLevel="0" collapsed="false">
      <c r="A17" s="3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31" t="s">
        <v>29</v>
      </c>
      <c r="B1" s="31" t="s">
        <v>142</v>
      </c>
      <c r="C1" s="31" t="s">
        <v>143</v>
      </c>
      <c r="D1" s="31" t="s">
        <v>144</v>
      </c>
      <c r="E1" s="31" t="s">
        <v>145</v>
      </c>
      <c r="F1" s="31" t="s">
        <v>146</v>
      </c>
      <c r="G1" s="31" t="s">
        <v>147</v>
      </c>
      <c r="H1" s="31" t="s">
        <v>148</v>
      </c>
      <c r="I1" s="31" t="s">
        <v>149</v>
      </c>
      <c r="J1" s="31" t="s">
        <v>150</v>
      </c>
    </row>
    <row r="2" customFormat="false" ht="15" hidden="false" customHeight="false" outlineLevel="0" collapsed="false">
      <c r="A2" s="26" t="s">
        <v>43</v>
      </c>
      <c r="B2" s="27" t="n">
        <f aca="false">COUNTIF('All Seasons'!$C$2:$C$163,A2)</f>
        <v>14</v>
      </c>
      <c r="C2" s="27" t="n">
        <f aca="false">COUNTIFS('All Seasons'!$C$2:$C$163,A2,'All Seasons'!$H$2:$H$163,"Champion")</f>
        <v>0</v>
      </c>
      <c r="D2" s="27" t="n">
        <f aca="false">COUNTIFS('All Seasons'!$C$2:$C$163,A2,'All Seasons'!$H$2:$H$163,"Runner-Up")</f>
        <v>0</v>
      </c>
      <c r="E2" s="27" t="n">
        <f aca="false">COUNTIFS('All Seasons'!$C$2:$C$163,A2,'All Seasons'!$H$2:$H$163,"3rd Place")</f>
        <v>1</v>
      </c>
      <c r="F2" s="27" t="n">
        <f aca="false">COUNTIFS('All Seasons'!$C$2:$C$163,A2,'All Seasons'!$H$2:$H$163,"Champion")+COUNTIFS('All Seasons'!$C$2:$C$163,A2,'All Seasons'!$H$2:$H$163,"Runner-Up")+COUNTIFS('All Seasons'!$C$2:$C$163,A2,'All Seasons'!$H$2:$H$163,"3rd Place")+COUNTIFS('All Seasons'!$C$2:$C$163,A2,'All Seasons'!$H$2:$H$163,"4th Place")+COUNTIFS('All Seasons'!$C$2:$C$163,A2,'All Seasons'!$H$2:$H$163,"Made Playoffs")</f>
        <v>5</v>
      </c>
      <c r="G2" s="27" t="n">
        <f aca="false">SUMIF('All Seasons'!$C$2:$C$163,A2,'All Seasons'!$E$2:$E$163)</f>
        <v>88</v>
      </c>
      <c r="H2" s="27" t="n">
        <f aca="false">SUMIF('All Seasons'!$C$2:$C$163,A2,'All Seasons'!$F$2:$F$163)</f>
        <v>98</v>
      </c>
      <c r="I2" s="13" t="n">
        <f aca="false">IF((G2+H2)=0,0,G2/(G2+H2))</f>
        <v>0.473118279569893</v>
      </c>
      <c r="J2" s="32" t="n">
        <f aca="false">SUMIF('All Seasons'!$C$2:$C$163,A2,'All Seasons'!$G$2:$G$163)</f>
        <v>20930</v>
      </c>
    </row>
    <row r="3" customFormat="false" ht="15" hidden="false" customHeight="false" outlineLevel="0" collapsed="false">
      <c r="A3" s="28" t="s">
        <v>46</v>
      </c>
      <c r="B3" s="29" t="n">
        <f aca="false">COUNTIF('All Seasons'!$C$2:$C$163,A3)</f>
        <v>12</v>
      </c>
      <c r="C3" s="29" t="n">
        <f aca="false">COUNTIFS('All Seasons'!$C$2:$C$163,A3,'All Seasons'!$H$2:$H$163,"Champion")</f>
        <v>1</v>
      </c>
      <c r="D3" s="29" t="n">
        <f aca="false">COUNTIFS('All Seasons'!$C$2:$C$163,A3,'All Seasons'!$H$2:$H$163,"Runner-Up")</f>
        <v>2</v>
      </c>
      <c r="E3" s="29" t="n">
        <f aca="false">COUNTIFS('All Seasons'!$C$2:$C$163,A3,'All Seasons'!$H$2:$H$163,"3rd Place")</f>
        <v>0</v>
      </c>
      <c r="F3" s="29" t="n">
        <f aca="false">COUNTIFS('All Seasons'!$C$2:$C$163,A3,'All Seasons'!$H$2:$H$163,"Champion")+COUNTIFS('All Seasons'!$C$2:$C$163,A3,'All Seasons'!$H$2:$H$163,"Runner-Up")+COUNTIFS('All Seasons'!$C$2:$C$163,A3,'All Seasons'!$H$2:$H$163,"3rd Place")+COUNTIFS('All Seasons'!$C$2:$C$163,A3,'All Seasons'!$H$2:$H$163,"4th Place")+COUNTIFS('All Seasons'!$C$2:$C$163,A3,'All Seasons'!$H$2:$H$163,"Made Playoffs")</f>
        <v>5</v>
      </c>
      <c r="G3" s="29" t="n">
        <f aca="false">SUMIF('All Seasons'!$C$2:$C$163,A3,'All Seasons'!$E$2:$E$163)</f>
        <v>72</v>
      </c>
      <c r="H3" s="29" t="n">
        <f aca="false">SUMIF('All Seasons'!$C$2:$C$163,A3,'All Seasons'!$F$2:$F$163)</f>
        <v>86</v>
      </c>
      <c r="I3" s="20" t="n">
        <f aca="false">IF((G3+H3)=0,0,G3/(G3+H3))</f>
        <v>0.455696202531646</v>
      </c>
      <c r="J3" s="33" t="n">
        <f aca="false">SUMIF('All Seasons'!$C$2:$C$163,A3,'All Seasons'!$G$2:$G$163)</f>
        <v>18638.88</v>
      </c>
    </row>
    <row r="4" customFormat="false" ht="15" hidden="false" customHeight="false" outlineLevel="0" collapsed="false">
      <c r="A4" s="26" t="s">
        <v>122</v>
      </c>
      <c r="B4" s="27" t="n">
        <f aca="false">COUNTIF('All Seasons'!$C$2:$C$163,A4)</f>
        <v>2</v>
      </c>
      <c r="C4" s="27" t="n">
        <f aca="false">COUNTIFS('All Seasons'!$C$2:$C$163,A4,'All Seasons'!$H$2:$H$163,"Champion")</f>
        <v>0</v>
      </c>
      <c r="D4" s="27" t="n">
        <f aca="false">COUNTIFS('All Seasons'!$C$2:$C$163,A4,'All Seasons'!$H$2:$H$163,"Runner-Up")</f>
        <v>0</v>
      </c>
      <c r="E4" s="27" t="n">
        <f aca="false">COUNTIFS('All Seasons'!$C$2:$C$163,A4,'All Seasons'!$H$2:$H$163,"3rd Place")</f>
        <v>0</v>
      </c>
      <c r="F4" s="27" t="n">
        <f aca="false">COUNTIFS('All Seasons'!$C$2:$C$163,A4,'All Seasons'!$H$2:$H$163,"Champion")+COUNTIFS('All Seasons'!$C$2:$C$163,A4,'All Seasons'!$H$2:$H$163,"Runner-Up")+COUNTIFS('All Seasons'!$C$2:$C$163,A4,'All Seasons'!$H$2:$H$163,"3rd Place")+COUNTIFS('All Seasons'!$C$2:$C$163,A4,'All Seasons'!$H$2:$H$163,"4th Place")+COUNTIFS('All Seasons'!$C$2:$C$163,A4,'All Seasons'!$H$2:$H$163,"Made Playoffs")</f>
        <v>1</v>
      </c>
      <c r="G4" s="27" t="n">
        <f aca="false">SUMIF('All Seasons'!$C$2:$C$163,A4,'All Seasons'!$E$2:$E$163)</f>
        <v>12</v>
      </c>
      <c r="H4" s="27" t="n">
        <f aca="false">SUMIF('All Seasons'!$C$2:$C$163,A4,'All Seasons'!$F$2:$F$163)</f>
        <v>16</v>
      </c>
      <c r="I4" s="13" t="n">
        <f aca="false">IF((G4+H4)=0,0,G4/(G4+H4))</f>
        <v>0.428571428571429</v>
      </c>
      <c r="J4" s="32" t="n">
        <f aca="false">SUMIF('All Seasons'!$C$2:$C$163,A4,'All Seasons'!$G$2:$G$163)</f>
        <v>2943.28</v>
      </c>
    </row>
    <row r="5" customFormat="false" ht="15" hidden="false" customHeight="false" outlineLevel="0" collapsed="false">
      <c r="A5" s="28" t="s">
        <v>65</v>
      </c>
      <c r="B5" s="29" t="n">
        <f aca="false">COUNTIF('All Seasons'!$C$2:$C$163,A5)</f>
        <v>11</v>
      </c>
      <c r="C5" s="29" t="n">
        <f aca="false">COUNTIFS('All Seasons'!$C$2:$C$163,A5,'All Seasons'!$H$2:$H$163,"Champion")</f>
        <v>0</v>
      </c>
      <c r="D5" s="29" t="n">
        <f aca="false">COUNTIFS('All Seasons'!$C$2:$C$163,A5,'All Seasons'!$H$2:$H$163,"Runner-Up")</f>
        <v>1</v>
      </c>
      <c r="E5" s="29" t="n">
        <f aca="false">COUNTIFS('All Seasons'!$C$2:$C$163,A5,'All Seasons'!$H$2:$H$163,"3rd Place")</f>
        <v>2</v>
      </c>
      <c r="F5" s="29" t="n">
        <f aca="false">COUNTIFS('All Seasons'!$C$2:$C$163,A5,'All Seasons'!$H$2:$H$163,"Champion")+COUNTIFS('All Seasons'!$C$2:$C$163,A5,'All Seasons'!$H$2:$H$163,"Runner-Up")+COUNTIFS('All Seasons'!$C$2:$C$163,A5,'All Seasons'!$H$2:$H$163,"3rd Place")+COUNTIFS('All Seasons'!$C$2:$C$163,A5,'All Seasons'!$H$2:$H$163,"4th Place")+COUNTIFS('All Seasons'!$C$2:$C$163,A5,'All Seasons'!$H$2:$H$163,"Made Playoffs")</f>
        <v>4</v>
      </c>
      <c r="G5" s="29" t="n">
        <f aca="false">SUMIF('All Seasons'!$C$2:$C$163,A5,'All Seasons'!$E$2:$E$163)</f>
        <v>70</v>
      </c>
      <c r="H5" s="29" t="n">
        <f aca="false">SUMIF('All Seasons'!$C$2:$C$163,A5,'All Seasons'!$F$2:$F$163)</f>
        <v>78</v>
      </c>
      <c r="I5" s="20" t="n">
        <f aca="false">IF((G5+H5)=0,0,G5/(G5+H5))</f>
        <v>0.472972972972973</v>
      </c>
      <c r="J5" s="33" t="n">
        <f aca="false">SUMIF('All Seasons'!$C$2:$C$163,A5,'All Seasons'!$G$2:$G$163)</f>
        <v>16905.2</v>
      </c>
    </row>
    <row r="6" customFormat="false" ht="15" hidden="false" customHeight="false" outlineLevel="0" collapsed="false">
      <c r="A6" s="26" t="s">
        <v>57</v>
      </c>
      <c r="B6" s="27" t="n">
        <f aca="false">COUNTIF('All Seasons'!$C$2:$C$163,A6)</f>
        <v>14</v>
      </c>
      <c r="C6" s="27" t="n">
        <f aca="false">COUNTIFS('All Seasons'!$C$2:$C$163,A6,'All Seasons'!$H$2:$H$163,"Champion")</f>
        <v>0</v>
      </c>
      <c r="D6" s="27" t="n">
        <f aca="false">COUNTIFS('All Seasons'!$C$2:$C$163,A6,'All Seasons'!$H$2:$H$163,"Runner-Up")</f>
        <v>1</v>
      </c>
      <c r="E6" s="27" t="n">
        <f aca="false">COUNTIFS('All Seasons'!$C$2:$C$163,A6,'All Seasons'!$H$2:$H$163,"3rd Place")</f>
        <v>0</v>
      </c>
      <c r="F6" s="27" t="n">
        <f aca="false">COUNTIFS('All Seasons'!$C$2:$C$163,A6,'All Seasons'!$H$2:$H$163,"Champion")+COUNTIFS('All Seasons'!$C$2:$C$163,A6,'All Seasons'!$H$2:$H$163,"Runner-Up")+COUNTIFS('All Seasons'!$C$2:$C$163,A6,'All Seasons'!$H$2:$H$163,"3rd Place")+COUNTIFS('All Seasons'!$C$2:$C$163,A6,'All Seasons'!$H$2:$H$163,"4th Place")+COUNTIFS('All Seasons'!$C$2:$C$163,A6,'All Seasons'!$H$2:$H$163,"Made Playoffs")</f>
        <v>2</v>
      </c>
      <c r="G6" s="27" t="n">
        <f aca="false">SUMIF('All Seasons'!$C$2:$C$163,A6,'All Seasons'!$E$2:$E$163)</f>
        <v>71</v>
      </c>
      <c r="H6" s="27" t="n">
        <f aca="false">SUMIF('All Seasons'!$C$2:$C$163,A6,'All Seasons'!$F$2:$F$163)</f>
        <v>115</v>
      </c>
      <c r="I6" s="13" t="n">
        <f aca="false">IF((G6+H6)=0,0,G6/(G6+H6))</f>
        <v>0.381720430107527</v>
      </c>
      <c r="J6" s="32" t="n">
        <f aca="false">SUMIF('All Seasons'!$C$2:$C$163,A6,'All Seasons'!$G$2:$G$163)</f>
        <v>20895.54</v>
      </c>
    </row>
    <row r="7" customFormat="false" ht="15" hidden="false" customHeight="false" outlineLevel="0" collapsed="false">
      <c r="A7" s="28" t="s">
        <v>52</v>
      </c>
      <c r="B7" s="29" t="n">
        <f aca="false">COUNTIF('All Seasons'!$C$2:$C$163,A7)</f>
        <v>14</v>
      </c>
      <c r="C7" s="29" t="n">
        <f aca="false">COUNTIFS('All Seasons'!$C$2:$C$163,A7,'All Seasons'!$H$2:$H$163,"Champion")</f>
        <v>0</v>
      </c>
      <c r="D7" s="29" t="n">
        <f aca="false">COUNTIFS('All Seasons'!$C$2:$C$163,A7,'All Seasons'!$H$2:$H$163,"Runner-Up")</f>
        <v>1</v>
      </c>
      <c r="E7" s="29" t="n">
        <f aca="false">COUNTIFS('All Seasons'!$C$2:$C$163,A7,'All Seasons'!$H$2:$H$163,"3rd Place")</f>
        <v>0</v>
      </c>
      <c r="F7" s="29" t="n">
        <f aca="false">COUNTIFS('All Seasons'!$C$2:$C$163,A7,'All Seasons'!$H$2:$H$163,"Champion")+COUNTIFS('All Seasons'!$C$2:$C$163,A7,'All Seasons'!$H$2:$H$163,"Runner-Up")+COUNTIFS('All Seasons'!$C$2:$C$163,A7,'All Seasons'!$H$2:$H$163,"3rd Place")+COUNTIFS('All Seasons'!$C$2:$C$163,A7,'All Seasons'!$H$2:$H$163,"4th Place")+COUNTIFS('All Seasons'!$C$2:$C$163,A7,'All Seasons'!$H$2:$H$163,"Made Playoffs")</f>
        <v>6</v>
      </c>
      <c r="G7" s="29" t="n">
        <f aca="false">SUMIF('All Seasons'!$C$2:$C$163,A7,'All Seasons'!$E$2:$E$163)</f>
        <v>98</v>
      </c>
      <c r="H7" s="29" t="n">
        <f aca="false">SUMIF('All Seasons'!$C$2:$C$163,A7,'All Seasons'!$F$2:$F$163)</f>
        <v>88</v>
      </c>
      <c r="I7" s="20" t="n">
        <f aca="false">IF((G7+H7)=0,0,G7/(G7+H7))</f>
        <v>0.526881720430108</v>
      </c>
      <c r="J7" s="33" t="n">
        <f aca="false">SUMIF('All Seasons'!$C$2:$C$163,A7,'All Seasons'!$G$2:$G$163)</f>
        <v>21533.64</v>
      </c>
    </row>
    <row r="8" customFormat="false" ht="15" hidden="false" customHeight="false" outlineLevel="0" collapsed="false">
      <c r="A8" s="26" t="s">
        <v>118</v>
      </c>
      <c r="B8" s="27" t="n">
        <f aca="false">COUNTIF('All Seasons'!$C$2:$C$163,A8)</f>
        <v>3</v>
      </c>
      <c r="C8" s="27" t="n">
        <f aca="false">COUNTIFS('All Seasons'!$C$2:$C$163,A8,'All Seasons'!$H$2:$H$163,"Champion")</f>
        <v>0</v>
      </c>
      <c r="D8" s="27" t="n">
        <f aca="false">COUNTIFS('All Seasons'!$C$2:$C$163,A8,'All Seasons'!$H$2:$H$163,"Runner-Up")</f>
        <v>0</v>
      </c>
      <c r="E8" s="27" t="n">
        <f aca="false">COUNTIFS('All Seasons'!$C$2:$C$163,A8,'All Seasons'!$H$2:$H$163,"3rd Place")</f>
        <v>0</v>
      </c>
      <c r="F8" s="27" t="n">
        <f aca="false">COUNTIFS('All Seasons'!$C$2:$C$163,A8,'All Seasons'!$H$2:$H$163,"Champion")+COUNTIFS('All Seasons'!$C$2:$C$163,A8,'All Seasons'!$H$2:$H$163,"Runner-Up")+COUNTIFS('All Seasons'!$C$2:$C$163,A8,'All Seasons'!$H$2:$H$163,"3rd Place")+COUNTIFS('All Seasons'!$C$2:$C$163,A8,'All Seasons'!$H$2:$H$163,"4th Place")+COUNTIFS('All Seasons'!$C$2:$C$163,A8,'All Seasons'!$H$2:$H$163,"Made Playoffs")</f>
        <v>0</v>
      </c>
      <c r="G8" s="27" t="n">
        <f aca="false">SUMIF('All Seasons'!$C$2:$C$163,A8,'All Seasons'!$E$2:$E$163)</f>
        <v>17</v>
      </c>
      <c r="H8" s="27" t="n">
        <f aca="false">SUMIF('All Seasons'!$C$2:$C$163,A8,'All Seasons'!$F$2:$F$163)</f>
        <v>25</v>
      </c>
      <c r="I8" s="13" t="n">
        <f aca="false">IF((G8+H8)=0,0,G8/(G8+H8))</f>
        <v>0.404761904761905</v>
      </c>
      <c r="J8" s="32" t="n">
        <f aca="false">SUMIF('All Seasons'!$C$2:$C$163,A8,'All Seasons'!$G$2:$G$163)</f>
        <v>4623.98</v>
      </c>
    </row>
    <row r="9" customFormat="false" ht="15" hidden="false" customHeight="false" outlineLevel="0" collapsed="false">
      <c r="A9" s="28" t="s">
        <v>59</v>
      </c>
      <c r="B9" s="29" t="n">
        <f aca="false">COUNTIF('All Seasons'!$C$2:$C$163,A9)</f>
        <v>11</v>
      </c>
      <c r="C9" s="29" t="n">
        <f aca="false">COUNTIFS('All Seasons'!$C$2:$C$163,A9,'All Seasons'!$H$2:$H$163,"Champion")</f>
        <v>0</v>
      </c>
      <c r="D9" s="29" t="n">
        <f aca="false">COUNTIFS('All Seasons'!$C$2:$C$163,A9,'All Seasons'!$H$2:$H$163,"Runner-Up")</f>
        <v>0</v>
      </c>
      <c r="E9" s="29" t="n">
        <f aca="false">COUNTIFS('All Seasons'!$C$2:$C$163,A9,'All Seasons'!$H$2:$H$163,"3rd Place")</f>
        <v>1</v>
      </c>
      <c r="F9" s="29" t="n">
        <f aca="false">COUNTIFS('All Seasons'!$C$2:$C$163,A9,'All Seasons'!$H$2:$H$163,"Champion")+COUNTIFS('All Seasons'!$C$2:$C$163,A9,'All Seasons'!$H$2:$H$163,"Runner-Up")+COUNTIFS('All Seasons'!$C$2:$C$163,A9,'All Seasons'!$H$2:$H$163,"3rd Place")+COUNTIFS('All Seasons'!$C$2:$C$163,A9,'All Seasons'!$H$2:$H$163,"4th Place")+COUNTIFS('All Seasons'!$C$2:$C$163,A9,'All Seasons'!$H$2:$H$163,"Made Playoffs")</f>
        <v>1</v>
      </c>
      <c r="G9" s="29" t="n">
        <f aca="false">SUMIF('All Seasons'!$C$2:$C$163,A9,'All Seasons'!$E$2:$E$163)</f>
        <v>59</v>
      </c>
      <c r="H9" s="29" t="n">
        <f aca="false">SUMIF('All Seasons'!$C$2:$C$163,A9,'All Seasons'!$F$2:$F$163)</f>
        <v>85</v>
      </c>
      <c r="I9" s="20" t="n">
        <f aca="false">IF((G9+H9)=0,0,G9/(G9+H9))</f>
        <v>0.409722222222222</v>
      </c>
      <c r="J9" s="33" t="n">
        <f aca="false">SUMIF('All Seasons'!$C$2:$C$163,A9,'All Seasons'!$G$2:$G$163)</f>
        <v>16309.9</v>
      </c>
    </row>
    <row r="10" customFormat="false" ht="15" hidden="false" customHeight="false" outlineLevel="0" collapsed="false">
      <c r="A10" s="26" t="s">
        <v>63</v>
      </c>
      <c r="B10" s="27" t="n">
        <f aca="false">COUNTIF('All Seasons'!$C$2:$C$163,A10)</f>
        <v>14</v>
      </c>
      <c r="C10" s="27" t="n">
        <f aca="false">COUNTIFS('All Seasons'!$C$2:$C$163,A10,'All Seasons'!$H$2:$H$163,"Champion")</f>
        <v>0</v>
      </c>
      <c r="D10" s="27" t="n">
        <f aca="false">COUNTIFS('All Seasons'!$C$2:$C$163,A10,'All Seasons'!$H$2:$H$163,"Runner-Up")</f>
        <v>1</v>
      </c>
      <c r="E10" s="27" t="n">
        <f aca="false">COUNTIFS('All Seasons'!$C$2:$C$163,A10,'All Seasons'!$H$2:$H$163,"3rd Place")</f>
        <v>6</v>
      </c>
      <c r="F10" s="27" t="n">
        <f aca="false">COUNTIFS('All Seasons'!$C$2:$C$163,A10,'All Seasons'!$H$2:$H$163,"Champion")+COUNTIFS('All Seasons'!$C$2:$C$163,A10,'All Seasons'!$H$2:$H$163,"Runner-Up")+COUNTIFS('All Seasons'!$C$2:$C$163,A10,'All Seasons'!$H$2:$H$163,"3rd Place")+COUNTIFS('All Seasons'!$C$2:$C$163,A10,'All Seasons'!$H$2:$H$163,"4th Place")+COUNTIFS('All Seasons'!$C$2:$C$163,A10,'All Seasons'!$H$2:$H$163,"Made Playoffs")</f>
        <v>11</v>
      </c>
      <c r="G10" s="27" t="n">
        <f aca="false">SUMIF('All Seasons'!$C$2:$C$163,A10,'All Seasons'!$E$2:$E$163)</f>
        <v>103</v>
      </c>
      <c r="H10" s="27" t="n">
        <f aca="false">SUMIF('All Seasons'!$C$2:$C$163,A10,'All Seasons'!$F$2:$F$163)</f>
        <v>83</v>
      </c>
      <c r="I10" s="13" t="n">
        <f aca="false">IF((G10+H10)=0,0,G10/(G10+H10))</f>
        <v>0.553763440860215</v>
      </c>
      <c r="J10" s="32" t="n">
        <f aca="false">SUMIF('All Seasons'!$C$2:$C$163,A10,'All Seasons'!$G$2:$G$163)</f>
        <v>22158.1</v>
      </c>
    </row>
    <row r="11" customFormat="false" ht="15" hidden="false" customHeight="false" outlineLevel="0" collapsed="false">
      <c r="A11" s="28" t="s">
        <v>68</v>
      </c>
      <c r="B11" s="29" t="n">
        <f aca="false">COUNTIF('All Seasons'!$C$2:$C$163,A11)</f>
        <v>11</v>
      </c>
      <c r="C11" s="29" t="n">
        <f aca="false">COUNTIFS('All Seasons'!$C$2:$C$163,A11,'All Seasons'!$H$2:$H$163,"Champion")</f>
        <v>1</v>
      </c>
      <c r="D11" s="29" t="n">
        <f aca="false">COUNTIFS('All Seasons'!$C$2:$C$163,A11,'All Seasons'!$H$2:$H$163,"Runner-Up")</f>
        <v>0</v>
      </c>
      <c r="E11" s="29" t="n">
        <f aca="false">COUNTIFS('All Seasons'!$C$2:$C$163,A11,'All Seasons'!$H$2:$H$163,"3rd Place")</f>
        <v>0</v>
      </c>
      <c r="F11" s="29" t="n">
        <f aca="false">COUNTIFS('All Seasons'!$C$2:$C$163,A11,'All Seasons'!$H$2:$H$163,"Champion")+COUNTIFS('All Seasons'!$C$2:$C$163,A11,'All Seasons'!$H$2:$H$163,"Runner-Up")+COUNTIFS('All Seasons'!$C$2:$C$163,A11,'All Seasons'!$H$2:$H$163,"3rd Place")+COUNTIFS('All Seasons'!$C$2:$C$163,A11,'All Seasons'!$H$2:$H$163,"4th Place")+COUNTIFS('All Seasons'!$C$2:$C$163,A11,'All Seasons'!$H$2:$H$163,"Made Playoffs")</f>
        <v>5</v>
      </c>
      <c r="G11" s="29" t="n">
        <f aca="false">SUMIF('All Seasons'!$C$2:$C$163,A11,'All Seasons'!$E$2:$E$163)</f>
        <v>67</v>
      </c>
      <c r="H11" s="29" t="n">
        <f aca="false">SUMIF('All Seasons'!$C$2:$C$163,A11,'All Seasons'!$F$2:$F$163)</f>
        <v>81</v>
      </c>
      <c r="I11" s="20" t="n">
        <f aca="false">IF((G11+H11)=0,0,G11/(G11+H11))</f>
        <v>0.452702702702703</v>
      </c>
      <c r="J11" s="33" t="n">
        <f aca="false">SUMIF('All Seasons'!$C$2:$C$163,A11,'All Seasons'!$G$2:$G$163)</f>
        <v>16876.88</v>
      </c>
    </row>
    <row r="12" customFormat="false" ht="15" hidden="false" customHeight="false" outlineLevel="0" collapsed="false">
      <c r="A12" s="26" t="s">
        <v>61</v>
      </c>
      <c r="B12" s="27" t="n">
        <f aca="false">COUNTIF('All Seasons'!$C$2:$C$163,A12)</f>
        <v>14</v>
      </c>
      <c r="C12" s="27" t="n">
        <f aca="false">COUNTIFS('All Seasons'!$C$2:$C$163,A12,'All Seasons'!$H$2:$H$163,"Champion")</f>
        <v>5</v>
      </c>
      <c r="D12" s="27" t="n">
        <f aca="false">COUNTIFS('All Seasons'!$C$2:$C$163,A12,'All Seasons'!$H$2:$H$163,"Runner-Up")</f>
        <v>2</v>
      </c>
      <c r="E12" s="27" t="n">
        <f aca="false">COUNTIFS('All Seasons'!$C$2:$C$163,A12,'All Seasons'!$H$2:$H$163,"3rd Place")</f>
        <v>0</v>
      </c>
      <c r="F12" s="27" t="n">
        <f aca="false">COUNTIFS('All Seasons'!$C$2:$C$163,A12,'All Seasons'!$H$2:$H$163,"Champion")+COUNTIFS('All Seasons'!$C$2:$C$163,A12,'All Seasons'!$H$2:$H$163,"Runner-Up")+COUNTIFS('All Seasons'!$C$2:$C$163,A12,'All Seasons'!$H$2:$H$163,"3rd Place")+COUNTIFS('All Seasons'!$C$2:$C$163,A12,'All Seasons'!$H$2:$H$163,"4th Place")+COUNTIFS('All Seasons'!$C$2:$C$163,A12,'All Seasons'!$H$2:$H$163,"Made Playoffs")</f>
        <v>10</v>
      </c>
      <c r="G12" s="27" t="n">
        <f aca="false">SUMIF('All Seasons'!$C$2:$C$163,A12,'All Seasons'!$E$2:$E$163)</f>
        <v>102</v>
      </c>
      <c r="H12" s="27" t="n">
        <f aca="false">SUMIF('All Seasons'!$C$2:$C$163,A12,'All Seasons'!$F$2:$F$163)</f>
        <v>84</v>
      </c>
      <c r="I12" s="13" t="n">
        <f aca="false">IF((G12+H12)=0,0,G12/(G12+H12))</f>
        <v>0.548387096774194</v>
      </c>
      <c r="J12" s="32" t="n">
        <f aca="false">SUMIF('All Seasons'!$C$2:$C$163,A12,'All Seasons'!$G$2:$G$163)</f>
        <v>22898.4</v>
      </c>
    </row>
    <row r="13" customFormat="false" ht="15" hidden="false" customHeight="false" outlineLevel="0" collapsed="false">
      <c r="A13" s="28" t="s">
        <v>49</v>
      </c>
      <c r="B13" s="29" t="n">
        <f aca="false">COUNTIF('All Seasons'!$C$2:$C$163,A13)</f>
        <v>14</v>
      </c>
      <c r="C13" s="29" t="n">
        <f aca="false">COUNTIFS('All Seasons'!$C$2:$C$163,A13,'All Seasons'!$H$2:$H$163,"Champion")</f>
        <v>2</v>
      </c>
      <c r="D13" s="29" t="n">
        <f aca="false">COUNTIFS('All Seasons'!$C$2:$C$163,A13,'All Seasons'!$H$2:$H$163,"Runner-Up")</f>
        <v>2</v>
      </c>
      <c r="E13" s="29" t="n">
        <f aca="false">COUNTIFS('All Seasons'!$C$2:$C$163,A13,'All Seasons'!$H$2:$H$163,"3rd Place")</f>
        <v>2</v>
      </c>
      <c r="F13" s="29" t="n">
        <f aca="false">COUNTIFS('All Seasons'!$C$2:$C$163,A13,'All Seasons'!$H$2:$H$163,"Champion")+COUNTIFS('All Seasons'!$C$2:$C$163,A13,'All Seasons'!$H$2:$H$163,"Runner-Up")+COUNTIFS('All Seasons'!$C$2:$C$163,A13,'All Seasons'!$H$2:$H$163,"3rd Place")+COUNTIFS('All Seasons'!$C$2:$C$163,A13,'All Seasons'!$H$2:$H$163,"4th Place")+COUNTIFS('All Seasons'!$C$2:$C$163,A13,'All Seasons'!$H$2:$H$163,"Made Playoffs")</f>
        <v>12</v>
      </c>
      <c r="G13" s="29" t="n">
        <f aca="false">SUMIF('All Seasons'!$C$2:$C$163,A13,'All Seasons'!$E$2:$E$163)</f>
        <v>116</v>
      </c>
      <c r="H13" s="29" t="n">
        <f aca="false">SUMIF('All Seasons'!$C$2:$C$163,A13,'All Seasons'!$F$2:$F$163)</f>
        <v>70</v>
      </c>
      <c r="I13" s="20" t="n">
        <f aca="false">IF((G13+H13)=0,0,G13/(G13+H13))</f>
        <v>0.623655913978495</v>
      </c>
      <c r="J13" s="33" t="n">
        <f aca="false">SUMIF('All Seasons'!$C$2:$C$163,A13,'All Seasons'!$G$2:$G$163)</f>
        <v>23226.92</v>
      </c>
    </row>
    <row r="14" customFormat="false" ht="15" hidden="false" customHeight="false" outlineLevel="0" collapsed="false">
      <c r="A14" s="26" t="s">
        <v>40</v>
      </c>
      <c r="B14" s="27" t="n">
        <f aca="false">COUNTIF('All Seasons'!$C$2:$C$163,A14)</f>
        <v>14</v>
      </c>
      <c r="C14" s="27" t="n">
        <f aca="false">COUNTIFS('All Seasons'!$C$2:$C$163,A14,'All Seasons'!$H$2:$H$163,"Champion")</f>
        <v>2</v>
      </c>
      <c r="D14" s="27" t="n">
        <f aca="false">COUNTIFS('All Seasons'!$C$2:$C$163,A14,'All Seasons'!$H$2:$H$163,"Runner-Up")</f>
        <v>3</v>
      </c>
      <c r="E14" s="27" t="n">
        <f aca="false">COUNTIFS('All Seasons'!$C$2:$C$163,A14,'All Seasons'!$H$2:$H$163,"3rd Place")</f>
        <v>1</v>
      </c>
      <c r="F14" s="27" t="n">
        <f aca="false">COUNTIFS('All Seasons'!$C$2:$C$163,A14,'All Seasons'!$H$2:$H$163,"Champion")+COUNTIFS('All Seasons'!$C$2:$C$163,A14,'All Seasons'!$H$2:$H$163,"Runner-Up")+COUNTIFS('All Seasons'!$C$2:$C$163,A14,'All Seasons'!$H$2:$H$163,"3rd Place")+COUNTIFS('All Seasons'!$C$2:$C$163,A14,'All Seasons'!$H$2:$H$163,"4th Place")+COUNTIFS('All Seasons'!$C$2:$C$163,A14,'All Seasons'!$H$2:$H$163,"Made Playoffs")</f>
        <v>8</v>
      </c>
      <c r="G14" s="27" t="n">
        <f aca="false">SUMIF('All Seasons'!$C$2:$C$163,A14,'All Seasons'!$E$2:$E$163)</f>
        <v>102</v>
      </c>
      <c r="H14" s="27" t="n">
        <f aca="false">SUMIF('All Seasons'!$C$2:$C$163,A14,'All Seasons'!$F$2:$F$163)</f>
        <v>84</v>
      </c>
      <c r="I14" s="13" t="n">
        <f aca="false">IF((G14+H14)=0,0,G14/(G14+H14))</f>
        <v>0.548387096774194</v>
      </c>
      <c r="J14" s="32" t="n">
        <f aca="false">SUMIF('All Seasons'!$C$2:$C$163,A14,'All Seasons'!$G$2:$G$163)</f>
        <v>22600.18</v>
      </c>
    </row>
    <row r="15" customFormat="false" ht="15" hidden="false" customHeight="false" outlineLevel="0" collapsed="false">
      <c r="A15" s="34" t="s">
        <v>55</v>
      </c>
      <c r="B15" s="35" t="n">
        <f aca="false">COUNTIF('All Seasons'!$C$2:$C$163,A15)</f>
        <v>14</v>
      </c>
      <c r="C15" s="35" t="n">
        <f aca="false">COUNTIFS('All Seasons'!$C$2:$C$163,A15,'All Seasons'!$H$2:$H$163,"Champion")</f>
        <v>3</v>
      </c>
      <c r="D15" s="35" t="n">
        <f aca="false">COUNTIFS('All Seasons'!$C$2:$C$163,A15,'All Seasons'!$H$2:$H$163,"Runner-Up")</f>
        <v>1</v>
      </c>
      <c r="E15" s="35" t="n">
        <f aca="false">COUNTIFS('All Seasons'!$C$2:$C$163,A15,'All Seasons'!$H$2:$H$163,"3rd Place")</f>
        <v>1</v>
      </c>
      <c r="F15" s="35" t="n">
        <f aca="false">COUNTIFS('All Seasons'!$C$2:$C$163,A15,'All Seasons'!$H$2:$H$163,"Champion")+COUNTIFS('All Seasons'!$C$2:$C$163,A15,'All Seasons'!$H$2:$H$163,"Runner-Up")+COUNTIFS('All Seasons'!$C$2:$C$163,A15,'All Seasons'!$H$2:$H$163,"3rd Place")+COUNTIFS('All Seasons'!$C$2:$C$163,A15,'All Seasons'!$H$2:$H$163,"4th Place")+COUNTIFS('All Seasons'!$C$2:$C$163,A15,'All Seasons'!$H$2:$H$163,"Made Playoffs")</f>
        <v>8</v>
      </c>
      <c r="G15" s="35" t="n">
        <f aca="false">SUMIF('All Seasons'!$C$2:$C$163,A15,'All Seasons'!$E$2:$E$163)</f>
        <v>101</v>
      </c>
      <c r="H15" s="35" t="n">
        <f aca="false">SUMIF('All Seasons'!$C$2:$C$163,A15,'All Seasons'!$F$2:$F$163)</f>
        <v>85</v>
      </c>
      <c r="I15" s="36" t="n">
        <f aca="false">IF((G15+H15)=0,0,G15/(G15+H15))</f>
        <v>0.543010752688172</v>
      </c>
      <c r="J15" s="37" t="n">
        <f aca="false">SUMIF('All Seasons'!$C$2:$C$163,A15,'All Seasons'!$G$2:$G$163)</f>
        <v>22505.04</v>
      </c>
    </row>
    <row r="17" customFormat="false" ht="15" hidden="false" customHeight="false" outlineLevel="0" collapsed="false">
      <c r="A17" s="30" t="s">
        <v>151</v>
      </c>
    </row>
  </sheetData>
  <autoFilter ref="A1:J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7" t="s">
        <v>27</v>
      </c>
      <c r="B1" s="7" t="s">
        <v>30</v>
      </c>
      <c r="C1" s="7" t="s">
        <v>28</v>
      </c>
      <c r="D1" s="7" t="s">
        <v>31</v>
      </c>
      <c r="E1" s="7" t="s">
        <v>32</v>
      </c>
      <c r="F1" s="7" t="s">
        <v>33</v>
      </c>
      <c r="G1" s="7" t="s">
        <v>34</v>
      </c>
    </row>
    <row r="2" customFormat="false" ht="15" hidden="false" customHeight="false" outlineLevel="0" collapsed="false">
      <c r="A2" s="26" t="n">
        <v>2012</v>
      </c>
      <c r="B2" s="27" t="str">
        <f aca="false">INDEX('All Seasons'!$D$2:$D$163,MATCH(1,('All Seasons'!$A$2:$A$163=A2)*('All Seasons'!$C$2:$C$163="thowd"),0))</f>
        <v>I'm Diggin' This Gurley</v>
      </c>
      <c r="C2" s="27" t="n">
        <f aca="false">INDEX('All Seasons'!$B$2:$B$163,MATCH(1,('All Seasons'!$A$2:$A$163=A2)*('All Seasons'!$C$2:$C$163="thowd"),0))</f>
        <v>6</v>
      </c>
      <c r="D2" s="27" t="n">
        <f aca="false">INDEX('All Seasons'!$E$2:$E$163,MATCH(1,('All Seasons'!$A$2:$A$163=A2)*('All Seasons'!$C$2:$C$163="thowd"),0))</f>
        <v>5</v>
      </c>
      <c r="E2" s="27" t="n">
        <f aca="false">INDEX('All Seasons'!$F$2:$F$163,MATCH(1,('All Seasons'!$A$2:$A$163=A2)*('All Seasons'!$C$2:$C$163="thowd"),0))</f>
        <v>7</v>
      </c>
      <c r="F2" s="12" t="n">
        <f aca="false">INDEX('All Seasons'!$G$2:$G$163,MATCH(1,('All Seasons'!$A$2:$A$163=A2)*('All Seasons'!$C$2:$C$163="thowd"),0))</f>
        <v>1405</v>
      </c>
      <c r="G2" s="27" t="str">
        <f aca="false">INDEX('All Seasons'!$H$2:$H$163,MATCH(1,('All Seasons'!$A$2:$A$163=A2)*('All Seasons'!$C$2:$C$163="thowd"),0))</f>
        <v>Missed Playoffs</v>
      </c>
    </row>
    <row r="3" customFormat="false" ht="15" hidden="false" customHeight="false" outlineLevel="0" collapsed="false">
      <c r="A3" s="28" t="n">
        <v>2013</v>
      </c>
      <c r="B3" s="29" t="str">
        <f aca="false">INDEX('All Seasons'!$D$2:$D$163,MATCH(1,('All Seasons'!$A$2:$A$163=A3)*('All Seasons'!$C$2:$C$163="thowd"),0))</f>
        <v>I'm Diggin' This Gurley</v>
      </c>
      <c r="C3" s="29" t="n">
        <f aca="false">INDEX('All Seasons'!$B$2:$B$163,MATCH(1,('All Seasons'!$A$2:$A$163=A3)*('All Seasons'!$C$2:$C$163="thowd"),0))</f>
        <v>3</v>
      </c>
      <c r="D3" s="29" t="n">
        <f aca="false">INDEX('All Seasons'!$E$2:$E$163,MATCH(1,('All Seasons'!$A$2:$A$163=A3)*('All Seasons'!$C$2:$C$163="thowd"),0))</f>
        <v>8</v>
      </c>
      <c r="E3" s="29" t="n">
        <f aca="false">INDEX('All Seasons'!$F$2:$F$163,MATCH(1,('All Seasons'!$A$2:$A$163=A3)*('All Seasons'!$C$2:$C$163="thowd"),0))</f>
        <v>5</v>
      </c>
      <c r="F3" s="19" t="n">
        <f aca="false">INDEX('All Seasons'!$G$2:$G$163,MATCH(1,('All Seasons'!$A$2:$A$163=A3)*('All Seasons'!$C$2:$C$163="thowd"),0))</f>
        <v>1608</v>
      </c>
      <c r="G3" s="29" t="str">
        <f aca="false">INDEX('All Seasons'!$H$2:$H$163,MATCH(1,('All Seasons'!$A$2:$A$163=A3)*('All Seasons'!$C$2:$C$163="thowd"),0))</f>
        <v>4th Place</v>
      </c>
    </row>
    <row r="4" customFormat="false" ht="15" hidden="false" customHeight="false" outlineLevel="0" collapsed="false">
      <c r="A4" s="26" t="n">
        <v>2014</v>
      </c>
      <c r="B4" s="27" t="str">
        <f aca="false">INDEX('All Seasons'!$D$2:$D$163,MATCH(1,('All Seasons'!$A$2:$A$163=A4)*('All Seasons'!$C$2:$C$163="thowd"),0))</f>
        <v>I'm Diggin' This Gurley</v>
      </c>
      <c r="C4" s="27" t="n">
        <f aca="false">INDEX('All Seasons'!$B$2:$B$163,MATCH(1,('All Seasons'!$A$2:$A$163=A4)*('All Seasons'!$C$2:$C$163="thowd"),0))</f>
        <v>6</v>
      </c>
      <c r="D4" s="27" t="n">
        <f aca="false">INDEX('All Seasons'!$E$2:$E$163,MATCH(1,('All Seasons'!$A$2:$A$163=A4)*('All Seasons'!$C$2:$C$163="thowd"),0))</f>
        <v>6</v>
      </c>
      <c r="E4" s="27" t="n">
        <f aca="false">INDEX('All Seasons'!$F$2:$F$163,MATCH(1,('All Seasons'!$A$2:$A$163=A4)*('All Seasons'!$C$2:$C$163="thowd"),0))</f>
        <v>7</v>
      </c>
      <c r="F4" s="12" t="n">
        <f aca="false">INDEX('All Seasons'!$G$2:$G$163,MATCH(1,('All Seasons'!$A$2:$A$163=A4)*('All Seasons'!$C$2:$C$163="thowd"),0))</f>
        <v>1481</v>
      </c>
      <c r="G4" s="27" t="str">
        <f aca="false">INDEX('All Seasons'!$H$2:$H$163,MATCH(1,('All Seasons'!$A$2:$A$163=A4)*('All Seasons'!$C$2:$C$163="thowd"),0))</f>
        <v>Missed Playoffs</v>
      </c>
    </row>
    <row r="5" customFormat="false" ht="15" hidden="false" customHeight="false" outlineLevel="0" collapsed="false">
      <c r="A5" s="28" t="n">
        <v>2015</v>
      </c>
      <c r="B5" s="29" t="str">
        <f aca="false">INDEX('All Seasons'!$D$2:$D$163,MATCH(1,('All Seasons'!$A$2:$A$163=A5)*('All Seasons'!$C$2:$C$163="thowd"),0))</f>
        <v>I'm Diggin' This Gurley</v>
      </c>
      <c r="C5" s="29" t="n">
        <f aca="false">INDEX('All Seasons'!$B$2:$B$163,MATCH(1,('All Seasons'!$A$2:$A$163=A5)*('All Seasons'!$C$2:$C$163="thowd"),0))</f>
        <v>5</v>
      </c>
      <c r="D5" s="29" t="n">
        <f aca="false">INDEX('All Seasons'!$E$2:$E$163,MATCH(1,('All Seasons'!$A$2:$A$163=A5)*('All Seasons'!$C$2:$C$163="thowd"),0))</f>
        <v>8</v>
      </c>
      <c r="E5" s="29" t="n">
        <f aca="false">INDEX('All Seasons'!$F$2:$F$163,MATCH(1,('All Seasons'!$A$2:$A$163=A5)*('All Seasons'!$C$2:$C$163="thowd"),0))</f>
        <v>5</v>
      </c>
      <c r="F5" s="19" t="n">
        <f aca="false">INDEX('All Seasons'!$G$2:$G$163,MATCH(1,('All Seasons'!$A$2:$A$163=A5)*('All Seasons'!$C$2:$C$163="thowd"),0))</f>
        <v>1491</v>
      </c>
      <c r="G5" s="29" t="str">
        <f aca="false">INDEX('All Seasons'!$H$2:$H$163,MATCH(1,('All Seasons'!$A$2:$A$163=A5)*('All Seasons'!$C$2:$C$163="thowd"),0))</f>
        <v>Made Playoffs</v>
      </c>
    </row>
    <row r="6" customFormat="false" ht="15" hidden="false" customHeight="false" outlineLevel="0" collapsed="false">
      <c r="A6" s="26" t="n">
        <v>2016</v>
      </c>
      <c r="B6" s="27" t="str">
        <f aca="false">INDEX('All Seasons'!$D$2:$D$163,MATCH(1,('All Seasons'!$A$2:$A$163=A6)*('All Seasons'!$C$2:$C$163="thowd"),0))</f>
        <v>I'm Diggin' This Gurley</v>
      </c>
      <c r="C6" s="27" t="n">
        <f aca="false">INDEX('All Seasons'!$B$2:$B$163,MATCH(1,('All Seasons'!$A$2:$A$163=A6)*('All Seasons'!$C$2:$C$163="thowd"),0))</f>
        <v>12</v>
      </c>
      <c r="D6" s="27" t="n">
        <f aca="false">INDEX('All Seasons'!$E$2:$E$163,MATCH(1,('All Seasons'!$A$2:$A$163=A6)*('All Seasons'!$C$2:$C$163="thowd"),0))</f>
        <v>4</v>
      </c>
      <c r="E6" s="27" t="n">
        <f aca="false">INDEX('All Seasons'!$F$2:$F$163,MATCH(1,('All Seasons'!$A$2:$A$163=A6)*('All Seasons'!$C$2:$C$163="thowd"),0))</f>
        <v>9</v>
      </c>
      <c r="F6" s="12" t="n">
        <f aca="false">INDEX('All Seasons'!$G$2:$G$163,MATCH(1,('All Seasons'!$A$2:$A$163=A6)*('All Seasons'!$C$2:$C$163="thowd"),0))</f>
        <v>1590.6</v>
      </c>
      <c r="G6" s="27" t="str">
        <f aca="false">INDEX('All Seasons'!$H$2:$H$163,MATCH(1,('All Seasons'!$A$2:$A$163=A6)*('All Seasons'!$C$2:$C$163="thowd"),0))</f>
        <v>Missed Playoffs</v>
      </c>
    </row>
    <row r="7" customFormat="false" ht="15" hidden="false" customHeight="false" outlineLevel="0" collapsed="false">
      <c r="A7" s="28" t="n">
        <v>2017</v>
      </c>
      <c r="B7" s="29" t="str">
        <f aca="false">INDEX('All Seasons'!$D$2:$D$163,MATCH(1,('All Seasons'!$A$2:$A$163=A7)*('All Seasons'!$C$2:$C$163="thowd"),0))</f>
        <v>I'm Diggin' This Gurley</v>
      </c>
      <c r="C7" s="29" t="n">
        <f aca="false">INDEX('All Seasons'!$B$2:$B$163,MATCH(1,('All Seasons'!$A$2:$A$163=A7)*('All Seasons'!$C$2:$C$163="thowd"),0))</f>
        <v>5</v>
      </c>
      <c r="D7" s="29" t="n">
        <f aca="false">INDEX('All Seasons'!$E$2:$E$163,MATCH(1,('All Seasons'!$A$2:$A$163=A7)*('All Seasons'!$C$2:$C$163="thowd"),0))</f>
        <v>7</v>
      </c>
      <c r="E7" s="29" t="n">
        <f aca="false">INDEX('All Seasons'!$F$2:$F$163,MATCH(1,('All Seasons'!$A$2:$A$163=A7)*('All Seasons'!$C$2:$C$163="thowd"),0))</f>
        <v>6</v>
      </c>
      <c r="F7" s="19" t="n">
        <f aca="false">INDEX('All Seasons'!$G$2:$G$163,MATCH(1,('All Seasons'!$A$2:$A$163=A7)*('All Seasons'!$C$2:$C$163="thowd"),0))</f>
        <v>1549</v>
      </c>
      <c r="G7" s="29" t="str">
        <f aca="false">INDEX('All Seasons'!$H$2:$H$163,MATCH(1,('All Seasons'!$A$2:$A$163=A7)*('All Seasons'!$C$2:$C$163="thowd"),0))</f>
        <v>Champion</v>
      </c>
    </row>
    <row r="8" customFormat="false" ht="15" hidden="false" customHeight="false" outlineLevel="0" collapsed="false">
      <c r="A8" s="26" t="n">
        <v>2018</v>
      </c>
      <c r="B8" s="27" t="str">
        <f aca="false">INDEX('All Seasons'!$D$2:$D$163,MATCH(1,('All Seasons'!$A$2:$A$163=A8)*('All Seasons'!$C$2:$C$163="thowd"),0))</f>
        <v>I'm Diggin' This Gurley</v>
      </c>
      <c r="C8" s="27" t="n">
        <f aca="false">INDEX('All Seasons'!$B$2:$B$163,MATCH(1,('All Seasons'!$A$2:$A$163=A8)*('All Seasons'!$C$2:$C$163="thowd"),0))</f>
        <v>2</v>
      </c>
      <c r="D8" s="27" t="n">
        <f aca="false">INDEX('All Seasons'!$E$2:$E$163,MATCH(1,('All Seasons'!$A$2:$A$163=A8)*('All Seasons'!$C$2:$C$163="thowd"),0))</f>
        <v>9</v>
      </c>
      <c r="E8" s="27" t="n">
        <f aca="false">INDEX('All Seasons'!$F$2:$F$163,MATCH(1,('All Seasons'!$A$2:$A$163=A8)*('All Seasons'!$C$2:$C$163="thowd"),0))</f>
        <v>4</v>
      </c>
      <c r="F8" s="12" t="n">
        <f aca="false">INDEX('All Seasons'!$G$2:$G$163,MATCH(1,('All Seasons'!$A$2:$A$163=A8)*('All Seasons'!$C$2:$C$163="thowd"),0))</f>
        <v>1677.1</v>
      </c>
      <c r="G8" s="27" t="str">
        <f aca="false">INDEX('All Seasons'!$H$2:$H$163,MATCH(1,('All Seasons'!$A$2:$A$163=A8)*('All Seasons'!$C$2:$C$163="thowd"),0))</f>
        <v>4th Place</v>
      </c>
    </row>
    <row r="9" customFormat="false" ht="15" hidden="false" customHeight="false" outlineLevel="0" collapsed="false">
      <c r="A9" s="28" t="n">
        <v>2019</v>
      </c>
      <c r="B9" s="29" t="str">
        <f aca="false">INDEX('All Seasons'!$D$2:$D$163,MATCH(1,('All Seasons'!$A$2:$A$163=A9)*('All Seasons'!$C$2:$C$163="thowd"),0))</f>
        <v>CAM JUju DIGGs IT!?!?</v>
      </c>
      <c r="C9" s="29" t="n">
        <f aca="false">INDEX('All Seasons'!$B$2:$B$163,MATCH(1,('All Seasons'!$A$2:$A$163=A9)*('All Seasons'!$C$2:$C$163="thowd"),0))</f>
        <v>5</v>
      </c>
      <c r="D9" s="29" t="n">
        <f aca="false">INDEX('All Seasons'!$E$2:$E$163,MATCH(1,('All Seasons'!$A$2:$A$163=A9)*('All Seasons'!$C$2:$C$163="thowd"),0))</f>
        <v>8</v>
      </c>
      <c r="E9" s="29" t="n">
        <f aca="false">INDEX('All Seasons'!$F$2:$F$163,MATCH(1,('All Seasons'!$A$2:$A$163=A9)*('All Seasons'!$C$2:$C$163="thowd"),0))</f>
        <v>5</v>
      </c>
      <c r="F9" s="19" t="n">
        <f aca="false">INDEX('All Seasons'!$G$2:$G$163,MATCH(1,('All Seasons'!$A$2:$A$163=A9)*('All Seasons'!$C$2:$C$163="thowd"),0))</f>
        <v>1564.94</v>
      </c>
      <c r="G9" s="29" t="str">
        <f aca="false">INDEX('All Seasons'!$H$2:$H$163,MATCH(1,('All Seasons'!$A$2:$A$163=A9)*('All Seasons'!$C$2:$C$163="thowd"),0))</f>
        <v>Champion</v>
      </c>
    </row>
    <row r="10" customFormat="false" ht="15" hidden="false" customHeight="false" outlineLevel="0" collapsed="false">
      <c r="A10" s="26" t="n">
        <v>2020</v>
      </c>
      <c r="B10" s="27" t="str">
        <f aca="false">INDEX('All Seasons'!$D$2:$D$163,MATCH(1,('All Seasons'!$A$2:$A$163=A10)*('All Seasons'!$C$2:$C$163="thowd"),0))</f>
        <v>#Champions</v>
      </c>
      <c r="C10" s="27" t="n">
        <f aca="false">INDEX('All Seasons'!$B$2:$B$163,MATCH(1,('All Seasons'!$A$2:$A$163=A10)*('All Seasons'!$C$2:$C$163="thowd"),0))</f>
        <v>7</v>
      </c>
      <c r="D10" s="27" t="n">
        <f aca="false">INDEX('All Seasons'!$E$2:$E$163,MATCH(1,('All Seasons'!$A$2:$A$163=A10)*('All Seasons'!$C$2:$C$163="thowd"),0))</f>
        <v>6</v>
      </c>
      <c r="E10" s="27" t="n">
        <f aca="false">INDEX('All Seasons'!$F$2:$F$163,MATCH(1,('All Seasons'!$A$2:$A$163=A10)*('All Seasons'!$C$2:$C$163="thowd"),0))</f>
        <v>7</v>
      </c>
      <c r="F10" s="12" t="n">
        <f aca="false">INDEX('All Seasons'!$G$2:$G$163,MATCH(1,('All Seasons'!$A$2:$A$163=A10)*('All Seasons'!$C$2:$C$163="thowd"),0))</f>
        <v>1563.24</v>
      </c>
      <c r="G10" s="27" t="str">
        <f aca="false">INDEX('All Seasons'!$H$2:$H$163,MATCH(1,('All Seasons'!$A$2:$A$163=A10)*('All Seasons'!$C$2:$C$163="thowd"),0))</f>
        <v>Missed Playoffs</v>
      </c>
    </row>
    <row r="11" customFormat="false" ht="15" hidden="false" customHeight="false" outlineLevel="0" collapsed="false">
      <c r="A11" s="28" t="n">
        <v>2021</v>
      </c>
      <c r="B11" s="29" t="str">
        <f aca="false">INDEX('All Seasons'!$D$2:$D$163,MATCH(1,('All Seasons'!$A$2:$A$163=A11)*('All Seasons'!$C$2:$C$163="thowd"),0))</f>
        <v>Hasta Laviska</v>
      </c>
      <c r="C11" s="29" t="n">
        <f aca="false">INDEX('All Seasons'!$B$2:$B$163,MATCH(1,('All Seasons'!$A$2:$A$163=A11)*('All Seasons'!$C$2:$C$163="thowd"),0))</f>
        <v>7</v>
      </c>
      <c r="D11" s="29" t="n">
        <f aca="false">INDEX('All Seasons'!$E$2:$E$163,MATCH(1,('All Seasons'!$A$2:$A$163=A11)*('All Seasons'!$C$2:$C$163="thowd"),0))</f>
        <v>7</v>
      </c>
      <c r="E11" s="29" t="n">
        <f aca="false">INDEX('All Seasons'!$F$2:$F$163,MATCH(1,('All Seasons'!$A$2:$A$163=A11)*('All Seasons'!$C$2:$C$163="thowd"),0))</f>
        <v>7</v>
      </c>
      <c r="F11" s="19" t="n">
        <f aca="false">INDEX('All Seasons'!$G$2:$G$163,MATCH(1,('All Seasons'!$A$2:$A$163=A11)*('All Seasons'!$C$2:$C$163="thowd"),0))</f>
        <v>1822.16</v>
      </c>
      <c r="G11" s="29" t="str">
        <f aca="false">INDEX('All Seasons'!$H$2:$H$163,MATCH(1,('All Seasons'!$A$2:$A$163=A11)*('All Seasons'!$C$2:$C$163="thowd"),0))</f>
        <v>Missed Playoffs</v>
      </c>
    </row>
    <row r="12" customFormat="false" ht="15" hidden="false" customHeight="false" outlineLevel="0" collapsed="false">
      <c r="A12" s="26" t="n">
        <v>2022</v>
      </c>
      <c r="B12" s="27" t="str">
        <f aca="false">INDEX('All Seasons'!$D$2:$D$163,MATCH(1,('All Seasons'!$A$2:$A$163=A12)*('All Seasons'!$C$2:$C$163="thowd"),0))</f>
        <v>Dark side, Strong side</v>
      </c>
      <c r="C12" s="27" t="n">
        <f aca="false">INDEX('All Seasons'!$B$2:$B$163,MATCH(1,('All Seasons'!$A$2:$A$163=A12)*('All Seasons'!$C$2:$C$163="thowd"),0))</f>
        <v>8</v>
      </c>
      <c r="D12" s="27" t="n">
        <f aca="false">INDEX('All Seasons'!$E$2:$E$163,MATCH(1,('All Seasons'!$A$2:$A$163=A12)*('All Seasons'!$C$2:$C$163="thowd"),0))</f>
        <v>5</v>
      </c>
      <c r="E12" s="27" t="n">
        <f aca="false">INDEX('All Seasons'!$F$2:$F$163,MATCH(1,('All Seasons'!$A$2:$A$163=A12)*('All Seasons'!$C$2:$C$163="thowd"),0))</f>
        <v>9</v>
      </c>
      <c r="F12" s="12" t="n">
        <f aca="false">INDEX('All Seasons'!$G$2:$G$163,MATCH(1,('All Seasons'!$A$2:$A$163=A12)*('All Seasons'!$C$2:$C$163="thowd"),0))</f>
        <v>1629.36</v>
      </c>
      <c r="G12" s="27" t="str">
        <f aca="false">INDEX('All Seasons'!$H$2:$H$163,MATCH(1,('All Seasons'!$A$2:$A$163=A12)*('All Seasons'!$C$2:$C$163="thowd"),0))</f>
        <v>Missed Playoffs</v>
      </c>
    </row>
    <row r="13" customFormat="false" ht="15" hidden="false" customHeight="false" outlineLevel="0" collapsed="false">
      <c r="A13" s="28" t="n">
        <v>2023</v>
      </c>
      <c r="B13" s="29" t="str">
        <f aca="false">INDEX('All Seasons'!$D$2:$D$163,MATCH(1,('All Seasons'!$A$2:$A$163=A13)*('All Seasons'!$C$2:$C$163="thowd"),0))</f>
        <v>The Kelce Era</v>
      </c>
      <c r="C13" s="29" t="n">
        <f aca="false">INDEX('All Seasons'!$B$2:$B$163,MATCH(1,('All Seasons'!$A$2:$A$163=A13)*('All Seasons'!$C$2:$C$163="thowd"),0))</f>
        <v>2</v>
      </c>
      <c r="D13" s="29" t="n">
        <f aca="false">INDEX('All Seasons'!$E$2:$E$163,MATCH(1,('All Seasons'!$A$2:$A$163=A13)*('All Seasons'!$C$2:$C$163="thowd"),0))</f>
        <v>10</v>
      </c>
      <c r="E13" s="29" t="n">
        <f aca="false">INDEX('All Seasons'!$F$2:$F$163,MATCH(1,('All Seasons'!$A$2:$A$163=A13)*('All Seasons'!$C$2:$C$163="thowd"),0))</f>
        <v>4</v>
      </c>
      <c r="F13" s="19" t="n">
        <f aca="false">INDEX('All Seasons'!$G$2:$G$163,MATCH(1,('All Seasons'!$A$2:$A$163=A13)*('All Seasons'!$C$2:$C$163="thowd"),0))</f>
        <v>1807.9</v>
      </c>
      <c r="G13" s="29" t="str">
        <f aca="false">INDEX('All Seasons'!$H$2:$H$163,MATCH(1,('All Seasons'!$A$2:$A$163=A13)*('All Seasons'!$C$2:$C$163="thowd"),0))</f>
        <v>3rd Place</v>
      </c>
    </row>
    <row r="14" customFormat="false" ht="15" hidden="false" customHeight="false" outlineLevel="0" collapsed="false">
      <c r="A14" s="26" t="n">
        <v>2024</v>
      </c>
      <c r="B14" s="27" t="str">
        <f aca="false">INDEX('All Seasons'!$D$2:$D$163,MATCH(1,('All Seasons'!$A$2:$A$163=A14)*('All Seasons'!$C$2:$C$163="thowd"),0))</f>
        <v>Howdy Nabers!</v>
      </c>
      <c r="C14" s="27" t="n">
        <f aca="false">INDEX('All Seasons'!$B$2:$B$163,MATCH(1,('All Seasons'!$A$2:$A$163=A14)*('All Seasons'!$C$2:$C$163="thowd"),0))</f>
        <v>3</v>
      </c>
      <c r="D14" s="27" t="n">
        <f aca="false">INDEX('All Seasons'!$E$2:$E$163,MATCH(1,('All Seasons'!$A$2:$A$163=A14)*('All Seasons'!$C$2:$C$163="thowd"),0))</f>
        <v>9</v>
      </c>
      <c r="E14" s="27" t="n">
        <f aca="false">INDEX('All Seasons'!$F$2:$F$163,MATCH(1,('All Seasons'!$A$2:$A$163=A14)*('All Seasons'!$C$2:$C$163="thowd"),0))</f>
        <v>5</v>
      </c>
      <c r="F14" s="12" t="n">
        <f aca="false">INDEX('All Seasons'!$G$2:$G$163,MATCH(1,('All Seasons'!$A$2:$A$163=A14)*('All Seasons'!$C$2:$C$163="thowd"),0))</f>
        <v>1622.34</v>
      </c>
      <c r="G14" s="27" t="str">
        <f aca="false">INDEX('All Seasons'!$H$2:$H$163,MATCH(1,('All Seasons'!$A$2:$A$163=A14)*('All Seasons'!$C$2:$C$163="thowd"),0))</f>
        <v>Runner-Up</v>
      </c>
    </row>
    <row r="15" customFormat="false" ht="15" hidden="false" customHeight="false" outlineLevel="0" collapsed="false">
      <c r="A15" s="28" t="n">
        <v>2025</v>
      </c>
      <c r="B15" s="29" t="str">
        <f aca="false">INDEX('All Seasons'!$D$2:$D$163,MATCH(1,('All Seasons'!$A$2:$A$163=A15)*('All Seasons'!$C$2:$C$163="thowd"),0))</f>
        <v>Run CM-Sun God</v>
      </c>
      <c r="C15" s="29" t="n">
        <f aca="false">INDEX('All Seasons'!$B$2:$B$163,MATCH(1,('All Seasons'!$A$2:$A$163=A15)*('All Seasons'!$C$2:$C$163="thowd"),0))</f>
        <v>2</v>
      </c>
      <c r="D15" s="29" t="n">
        <f aca="false">INDEX('All Seasons'!$E$2:$E$163,MATCH(1,('All Seasons'!$A$2:$A$163=A15)*('All Seasons'!$C$2:$C$163="thowd"),0))</f>
        <v>9</v>
      </c>
      <c r="E15" s="29" t="n">
        <f aca="false">INDEX('All Seasons'!$F$2:$F$163,MATCH(1,('All Seasons'!$A$2:$A$163=A15)*('All Seasons'!$C$2:$C$163="thowd"),0))</f>
        <v>5</v>
      </c>
      <c r="F15" s="19" t="n">
        <f aca="false">INDEX('All Seasons'!$G$2:$G$163,MATCH(1,('All Seasons'!$A$2:$A$163=A15)*('All Seasons'!$C$2:$C$163="thowd"),0))</f>
        <v>1693.4</v>
      </c>
      <c r="G15" s="29" t="str">
        <f aca="false">INDEX('All Seasons'!$H$2:$H$163,MATCH(1,('All Seasons'!$A$2:$A$163=A15)*('All Seasons'!$C$2:$C$163="thowd"),0))</f>
        <v>Champion</v>
      </c>
    </row>
    <row r="16" customFormat="false" ht="15" hidden="false" customHeight="false" outlineLevel="0" collapsed="false">
      <c r="A16" s="38" t="s">
        <v>152</v>
      </c>
      <c r="B16" s="39"/>
      <c r="C16" s="39"/>
      <c r="D16" s="40" t="n">
        <f aca="false">SUM(D2:D15)</f>
        <v>101</v>
      </c>
      <c r="E16" s="40" t="n">
        <f aca="false">SUM(E2:E15)</f>
        <v>85</v>
      </c>
      <c r="F16" s="41" t="n">
        <f aca="false">SUM(F2:F15)</f>
        <v>22505.04</v>
      </c>
      <c r="G16" s="39"/>
    </row>
    <row r="17" customFormat="false" ht="15" hidden="false" customHeight="false" outlineLevel="0" collapsed="false">
      <c r="A17" s="42" t="s">
        <v>153</v>
      </c>
      <c r="D17" s="43" t="n">
        <f aca="false">D16/(D16+E16)</f>
        <v>0.543010752688172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9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</cols>
  <sheetData>
    <row r="2" customFormat="false" ht="22.05" hidden="false" customHeight="false" outlineLevel="0" collapsed="false">
      <c r="A2" s="44" t="s">
        <v>154</v>
      </c>
    </row>
    <row r="3" customFormat="false" ht="15" hidden="false" customHeight="false" outlineLevel="0" collapsed="false">
      <c r="A3" s="45" t="s">
        <v>155</v>
      </c>
    </row>
    <row r="5" customFormat="false" ht="16.15" hidden="false" customHeight="false" outlineLevel="0" collapsed="false">
      <c r="A5" s="46" t="s">
        <v>156</v>
      </c>
    </row>
    <row r="6" customFormat="false" ht="15" hidden="false" customHeight="false" outlineLevel="0" collapsed="false">
      <c r="A6" s="47" t="s">
        <v>29</v>
      </c>
      <c r="B6" s="47" t="s">
        <v>157</v>
      </c>
      <c r="C6" s="47" t="s">
        <v>158</v>
      </c>
      <c r="D6" s="47" t="s">
        <v>144</v>
      </c>
      <c r="E6" s="47" t="s">
        <v>159</v>
      </c>
      <c r="F6" s="47" t="s">
        <v>160</v>
      </c>
      <c r="G6" s="47" t="s">
        <v>161</v>
      </c>
      <c r="H6" s="47" t="s">
        <v>36</v>
      </c>
      <c r="I6" s="47" t="s">
        <v>162</v>
      </c>
    </row>
    <row r="7" customFormat="false" ht="15" hidden="false" customHeight="false" outlineLevel="0" collapsed="false">
      <c r="A7" s="28" t="s">
        <v>43</v>
      </c>
      <c r="B7" s="29" t="n">
        <f aca="false">COUNTIF('All Seasons'!$C$2:$C$163,A7)</f>
        <v>14</v>
      </c>
      <c r="C7" s="29" t="n">
        <f aca="false">COUNTIFS('All Seasons'!$C$2:$C$163,A7,'All Seasons'!$H$2:$H$163,"Champion")</f>
        <v>0</v>
      </c>
      <c r="D7" s="29" t="n">
        <f aca="false">COUNTIFS('All Seasons'!$C$2:$C$163,A7,'All Seasons'!$H$2:$H$163,"Runner-Up")</f>
        <v>0</v>
      </c>
      <c r="E7" s="29" t="n">
        <f aca="false">SUMIFS('All Seasons'!$M$2:$M$163,'All Seasons'!$C$2:$C$163,A7)</f>
        <v>2</v>
      </c>
      <c r="F7" s="33" t="n">
        <f aca="false">SUMIF('All Seasons'!$C$2:$C$163,A7,'All Seasons'!$G$2:$G$163)</f>
        <v>20930</v>
      </c>
      <c r="G7" s="33" t="n">
        <f aca="false">SUMIF('All Seasons'!$C$2:$C$163,A7,'All Seasons'!$I$2:$I$163)</f>
        <v>21818.78</v>
      </c>
      <c r="H7" s="33" t="n">
        <f aca="false">F7-G7</f>
        <v>-888.779999999999</v>
      </c>
      <c r="I7" s="21" t="n">
        <f aca="false">AVERAGEIF('All Seasons'!$C$2:$C$163,A7,'All Seasons'!$L$2:$L$163)</f>
        <v>0.00142596474121618</v>
      </c>
    </row>
    <row r="8" customFormat="false" ht="15" hidden="false" customHeight="false" outlineLevel="0" collapsed="false">
      <c r="A8" s="26" t="s">
        <v>46</v>
      </c>
      <c r="B8" s="27" t="n">
        <f aca="false">COUNTIF('All Seasons'!$C$2:$C$163,A8)</f>
        <v>12</v>
      </c>
      <c r="C8" s="27" t="n">
        <f aca="false">COUNTIFS('All Seasons'!$C$2:$C$163,A8,'All Seasons'!$H$2:$H$163,"Champion")</f>
        <v>1</v>
      </c>
      <c r="D8" s="27" t="n">
        <f aca="false">COUNTIFS('All Seasons'!$C$2:$C$163,A8,'All Seasons'!$H$2:$H$163,"Runner-Up")</f>
        <v>2</v>
      </c>
      <c r="E8" s="27" t="n">
        <f aca="false">SUMIFS('All Seasons'!$M$2:$M$163,'All Seasons'!$C$2:$C$163,A8)</f>
        <v>1</v>
      </c>
      <c r="F8" s="32" t="n">
        <f aca="false">SUMIF('All Seasons'!$C$2:$C$163,A8,'All Seasons'!$G$2:$G$163)</f>
        <v>18638.88</v>
      </c>
      <c r="G8" s="32" t="n">
        <f aca="false">SUMIF('All Seasons'!$C$2:$C$163,A8,'All Seasons'!$I$2:$I$163)</f>
        <v>19282</v>
      </c>
      <c r="H8" s="32" t="n">
        <f aca="false">F8-G8</f>
        <v>-643.119999999999</v>
      </c>
      <c r="I8" s="14" t="n">
        <f aca="false">AVERAGEIF('All Seasons'!$C$2:$C$163,A8,'All Seasons'!$L$2:$L$163)</f>
        <v>-0.0213117491618472</v>
      </c>
    </row>
    <row r="9" customFormat="false" ht="15" hidden="false" customHeight="false" outlineLevel="0" collapsed="false">
      <c r="A9" s="28" t="s">
        <v>122</v>
      </c>
      <c r="B9" s="29" t="n">
        <f aca="false">COUNTIF('All Seasons'!$C$2:$C$163,A9)</f>
        <v>2</v>
      </c>
      <c r="C9" s="29" t="n">
        <f aca="false">COUNTIFS('All Seasons'!$C$2:$C$163,A9,'All Seasons'!$H$2:$H$163,"Champion")</f>
        <v>0</v>
      </c>
      <c r="D9" s="29" t="n">
        <f aca="false">COUNTIFS('All Seasons'!$C$2:$C$163,A9,'All Seasons'!$H$2:$H$163,"Runner-Up")</f>
        <v>0</v>
      </c>
      <c r="E9" s="29" t="n">
        <f aca="false">SUMIFS('All Seasons'!$M$2:$M$163,'All Seasons'!$C$2:$C$163,A9)</f>
        <v>1</v>
      </c>
      <c r="F9" s="33" t="n">
        <f aca="false">SUMIF('All Seasons'!$C$2:$C$163,A9,'All Seasons'!$G$2:$G$163)</f>
        <v>2943.28</v>
      </c>
      <c r="G9" s="33" t="n">
        <f aca="false">SUMIF('All Seasons'!$C$2:$C$163,A9,'All Seasons'!$I$2:$I$163)</f>
        <v>3160.3</v>
      </c>
      <c r="H9" s="33" t="n">
        <f aca="false">F9-G9</f>
        <v>-217.02</v>
      </c>
      <c r="I9" s="21" t="n">
        <f aca="false">AVERAGEIF('All Seasons'!$C$2:$C$163,A9,'All Seasons'!$L$2:$L$163)</f>
        <v>-0.0270619703060134</v>
      </c>
    </row>
    <row r="10" customFormat="false" ht="15" hidden="false" customHeight="false" outlineLevel="0" collapsed="false">
      <c r="A10" s="26" t="s">
        <v>65</v>
      </c>
      <c r="B10" s="27" t="n">
        <f aca="false">COUNTIF('All Seasons'!$C$2:$C$163,A10)</f>
        <v>11</v>
      </c>
      <c r="C10" s="27" t="n">
        <f aca="false">COUNTIFS('All Seasons'!$C$2:$C$163,A10,'All Seasons'!$H$2:$H$163,"Champion")</f>
        <v>0</v>
      </c>
      <c r="D10" s="27" t="n">
        <f aca="false">COUNTIFS('All Seasons'!$C$2:$C$163,A10,'All Seasons'!$H$2:$H$163,"Runner-Up")</f>
        <v>1</v>
      </c>
      <c r="E10" s="27" t="n">
        <f aca="false">SUMIFS('All Seasons'!$M$2:$M$163,'All Seasons'!$C$2:$C$163,A10)</f>
        <v>0</v>
      </c>
      <c r="F10" s="32" t="n">
        <f aca="false">SUMIF('All Seasons'!$C$2:$C$163,A10,'All Seasons'!$G$2:$G$163)</f>
        <v>16905.2</v>
      </c>
      <c r="G10" s="32" t="n">
        <f aca="false">SUMIF('All Seasons'!$C$2:$C$163,A10,'All Seasons'!$I$2:$I$163)</f>
        <v>17316.2</v>
      </c>
      <c r="H10" s="32" t="n">
        <f aca="false">F10-G10</f>
        <v>-411</v>
      </c>
      <c r="I10" s="14" t="n">
        <f aca="false">AVERAGEIF('All Seasons'!$C$2:$C$163,A10,'All Seasons'!$L$2:$L$163)</f>
        <v>-0.0143423752318526</v>
      </c>
    </row>
    <row r="11" customFormat="false" ht="15" hidden="false" customHeight="false" outlineLevel="0" collapsed="false">
      <c r="A11" s="28" t="s">
        <v>57</v>
      </c>
      <c r="B11" s="29" t="n">
        <f aca="false">COUNTIF('All Seasons'!$C$2:$C$163,A11)</f>
        <v>14</v>
      </c>
      <c r="C11" s="29" t="n">
        <f aca="false">COUNTIFS('All Seasons'!$C$2:$C$163,A11,'All Seasons'!$H$2:$H$163,"Champion")</f>
        <v>0</v>
      </c>
      <c r="D11" s="29" t="n">
        <f aca="false">COUNTIFS('All Seasons'!$C$2:$C$163,A11,'All Seasons'!$H$2:$H$163,"Runner-Up")</f>
        <v>1</v>
      </c>
      <c r="E11" s="29" t="n">
        <f aca="false">SUMIFS('All Seasons'!$M$2:$M$163,'All Seasons'!$C$2:$C$163,A11)</f>
        <v>3</v>
      </c>
      <c r="F11" s="33" t="n">
        <f aca="false">SUMIF('All Seasons'!$C$2:$C$163,A11,'All Seasons'!$G$2:$G$163)</f>
        <v>20895.54</v>
      </c>
      <c r="G11" s="33" t="n">
        <f aca="false">SUMIF('All Seasons'!$C$2:$C$163,A11,'All Seasons'!$I$2:$I$163)</f>
        <v>21957.82</v>
      </c>
      <c r="H11" s="33" t="n">
        <f aca="false">F11-G11</f>
        <v>-1062.28</v>
      </c>
      <c r="I11" s="21" t="n">
        <f aca="false">AVERAGEIF('All Seasons'!$C$2:$C$163,A11,'All Seasons'!$L$2:$L$163)</f>
        <v>-0.0891706488681403</v>
      </c>
    </row>
    <row r="12" customFormat="false" ht="15" hidden="false" customHeight="false" outlineLevel="0" collapsed="false">
      <c r="A12" s="26" t="s">
        <v>52</v>
      </c>
      <c r="B12" s="27" t="n">
        <f aca="false">COUNTIF('All Seasons'!$C$2:$C$163,A12)</f>
        <v>14</v>
      </c>
      <c r="C12" s="27" t="n">
        <f aca="false">COUNTIFS('All Seasons'!$C$2:$C$163,A12,'All Seasons'!$H$2:$H$163,"Champion")</f>
        <v>0</v>
      </c>
      <c r="D12" s="27" t="n">
        <f aca="false">COUNTIFS('All Seasons'!$C$2:$C$163,A12,'All Seasons'!$H$2:$H$163,"Runner-Up")</f>
        <v>1</v>
      </c>
      <c r="E12" s="27" t="n">
        <f aca="false">SUMIFS('All Seasons'!$M$2:$M$163,'All Seasons'!$C$2:$C$163,A12)</f>
        <v>0</v>
      </c>
      <c r="F12" s="32" t="n">
        <f aca="false">SUMIF('All Seasons'!$C$2:$C$163,A12,'All Seasons'!$G$2:$G$163)</f>
        <v>21533.64</v>
      </c>
      <c r="G12" s="32" t="n">
        <f aca="false">SUMIF('All Seasons'!$C$2:$C$163,A12,'All Seasons'!$I$2:$I$163)</f>
        <v>21412.12</v>
      </c>
      <c r="H12" s="32" t="n">
        <f aca="false">F12-G12</f>
        <v>121.52</v>
      </c>
      <c r="I12" s="14" t="n">
        <f aca="false">AVERAGEIF('All Seasons'!$C$2:$C$163,A12,'All Seasons'!$L$2:$L$163)</f>
        <v>0.0240100812243358</v>
      </c>
    </row>
    <row r="13" customFormat="false" ht="15" hidden="false" customHeight="false" outlineLevel="0" collapsed="false">
      <c r="A13" s="28" t="s">
        <v>118</v>
      </c>
      <c r="B13" s="29" t="n">
        <f aca="false">COUNTIF('All Seasons'!$C$2:$C$163,A13)</f>
        <v>3</v>
      </c>
      <c r="C13" s="29" t="n">
        <f aca="false">COUNTIFS('All Seasons'!$C$2:$C$163,A13,'All Seasons'!$H$2:$H$163,"Champion")</f>
        <v>0</v>
      </c>
      <c r="D13" s="29" t="n">
        <f aca="false">COUNTIFS('All Seasons'!$C$2:$C$163,A13,'All Seasons'!$H$2:$H$163,"Runner-Up")</f>
        <v>0</v>
      </c>
      <c r="E13" s="29" t="n">
        <f aca="false">SUMIFS('All Seasons'!$M$2:$M$163,'All Seasons'!$C$2:$C$163,A13)</f>
        <v>0</v>
      </c>
      <c r="F13" s="33" t="n">
        <f aca="false">SUMIF('All Seasons'!$C$2:$C$163,A13,'All Seasons'!$G$2:$G$163)</f>
        <v>4623.98</v>
      </c>
      <c r="G13" s="33" t="n">
        <f aca="false">SUMIF('All Seasons'!$C$2:$C$163,A13,'All Seasons'!$I$2:$I$163)</f>
        <v>4788.96</v>
      </c>
      <c r="H13" s="33" t="n">
        <f aca="false">F13-G13</f>
        <v>-164.98</v>
      </c>
      <c r="I13" s="21" t="n">
        <f aca="false">AVERAGEIF('All Seasons'!$C$2:$C$163,A13,'All Seasons'!$L$2:$L$163)</f>
        <v>-0.0743373402842817</v>
      </c>
    </row>
    <row r="14" customFormat="false" ht="15" hidden="false" customHeight="false" outlineLevel="0" collapsed="false">
      <c r="A14" s="26" t="s">
        <v>59</v>
      </c>
      <c r="B14" s="27" t="n">
        <f aca="false">COUNTIF('All Seasons'!$C$2:$C$163,A14)</f>
        <v>11</v>
      </c>
      <c r="C14" s="27" t="n">
        <f aca="false">COUNTIFS('All Seasons'!$C$2:$C$163,A14,'All Seasons'!$H$2:$H$163,"Champion")</f>
        <v>0</v>
      </c>
      <c r="D14" s="27" t="n">
        <f aca="false">COUNTIFS('All Seasons'!$C$2:$C$163,A14,'All Seasons'!$H$2:$H$163,"Runner-Up")</f>
        <v>0</v>
      </c>
      <c r="E14" s="27" t="n">
        <f aca="false">SUMIFS('All Seasons'!$M$2:$M$163,'All Seasons'!$C$2:$C$163,A14)</f>
        <v>2</v>
      </c>
      <c r="F14" s="32" t="n">
        <f aca="false">SUMIF('All Seasons'!$C$2:$C$163,A14,'All Seasons'!$G$2:$G$163)</f>
        <v>16309.9</v>
      </c>
      <c r="G14" s="32" t="n">
        <f aca="false">SUMIF('All Seasons'!$C$2:$C$163,A14,'All Seasons'!$I$2:$I$163)</f>
        <v>17257.86</v>
      </c>
      <c r="H14" s="32" t="n">
        <f aca="false">F14-G14</f>
        <v>-947.960000000001</v>
      </c>
      <c r="I14" s="14" t="n">
        <f aca="false">AVERAGEIF('All Seasons'!$C$2:$C$163,A14,'All Seasons'!$L$2:$L$163)</f>
        <v>-0.056517387027758</v>
      </c>
    </row>
    <row r="15" customFormat="false" ht="15" hidden="false" customHeight="false" outlineLevel="0" collapsed="false">
      <c r="A15" s="28" t="s">
        <v>63</v>
      </c>
      <c r="B15" s="29" t="n">
        <f aca="false">COUNTIF('All Seasons'!$C$2:$C$163,A15)</f>
        <v>14</v>
      </c>
      <c r="C15" s="29" t="n">
        <f aca="false">COUNTIFS('All Seasons'!$C$2:$C$163,A15,'All Seasons'!$H$2:$H$163,"Champion")</f>
        <v>0</v>
      </c>
      <c r="D15" s="29" t="n">
        <f aca="false">COUNTIFS('All Seasons'!$C$2:$C$163,A15,'All Seasons'!$H$2:$H$163,"Runner-Up")</f>
        <v>1</v>
      </c>
      <c r="E15" s="29" t="n">
        <f aca="false">SUMIFS('All Seasons'!$M$2:$M$163,'All Seasons'!$C$2:$C$163,A15)</f>
        <v>1</v>
      </c>
      <c r="F15" s="33" t="n">
        <f aca="false">SUMIF('All Seasons'!$C$2:$C$163,A15,'All Seasons'!$G$2:$G$163)</f>
        <v>22158.1</v>
      </c>
      <c r="G15" s="33" t="n">
        <f aca="false">SUMIF('All Seasons'!$C$2:$C$163,A15,'All Seasons'!$I$2:$I$163)</f>
        <v>21122.98</v>
      </c>
      <c r="H15" s="33" t="n">
        <f aca="false">F15-G15</f>
        <v>1035.12</v>
      </c>
      <c r="I15" s="21" t="n">
        <f aca="false">AVERAGEIF('All Seasons'!$C$2:$C$163,A15,'All Seasons'!$L$2:$L$163)</f>
        <v>0.0246302667838861</v>
      </c>
    </row>
    <row r="16" customFormat="false" ht="15" hidden="false" customHeight="false" outlineLevel="0" collapsed="false">
      <c r="A16" s="26" t="s">
        <v>68</v>
      </c>
      <c r="B16" s="27" t="n">
        <f aca="false">COUNTIF('All Seasons'!$C$2:$C$163,A16)</f>
        <v>11</v>
      </c>
      <c r="C16" s="27" t="n">
        <f aca="false">COUNTIFS('All Seasons'!$C$2:$C$163,A16,'All Seasons'!$H$2:$H$163,"Champion")</f>
        <v>1</v>
      </c>
      <c r="D16" s="27" t="n">
        <f aca="false">COUNTIFS('All Seasons'!$C$2:$C$163,A16,'All Seasons'!$H$2:$H$163,"Runner-Up")</f>
        <v>0</v>
      </c>
      <c r="E16" s="27" t="n">
        <f aca="false">SUMIFS('All Seasons'!$M$2:$M$163,'All Seasons'!$C$2:$C$163,A16)</f>
        <v>1</v>
      </c>
      <c r="F16" s="32" t="n">
        <f aca="false">SUMIF('All Seasons'!$C$2:$C$163,A16,'All Seasons'!$G$2:$G$163)</f>
        <v>16876.88</v>
      </c>
      <c r="G16" s="32" t="n">
        <f aca="false">SUMIF('All Seasons'!$C$2:$C$163,A16,'All Seasons'!$I$2:$I$163)</f>
        <v>17524.96</v>
      </c>
      <c r="H16" s="32" t="n">
        <f aca="false">F16-G16</f>
        <v>-648.079999999998</v>
      </c>
      <c r="I16" s="14" t="n">
        <f aca="false">AVERAGEIF('All Seasons'!$C$2:$C$163,A16,'All Seasons'!$L$2:$L$163)</f>
        <v>-0.0223676127197268</v>
      </c>
    </row>
    <row r="17" customFormat="false" ht="15" hidden="false" customHeight="false" outlineLevel="0" collapsed="false">
      <c r="A17" s="28" t="s">
        <v>61</v>
      </c>
      <c r="B17" s="29" t="n">
        <f aca="false">COUNTIF('All Seasons'!$C$2:$C$163,A17)</f>
        <v>14</v>
      </c>
      <c r="C17" s="29" t="n">
        <f aca="false">COUNTIFS('All Seasons'!$C$2:$C$163,A17,'All Seasons'!$H$2:$H$163,"Champion")</f>
        <v>5</v>
      </c>
      <c r="D17" s="29" t="n">
        <f aca="false">COUNTIFS('All Seasons'!$C$2:$C$163,A17,'All Seasons'!$H$2:$H$163,"Runner-Up")</f>
        <v>2</v>
      </c>
      <c r="E17" s="29" t="n">
        <f aca="false">SUMIFS('All Seasons'!$M$2:$M$163,'All Seasons'!$C$2:$C$163,A17)</f>
        <v>0</v>
      </c>
      <c r="F17" s="33" t="n">
        <f aca="false">SUMIF('All Seasons'!$C$2:$C$163,A17,'All Seasons'!$G$2:$G$163)</f>
        <v>22898.4</v>
      </c>
      <c r="G17" s="33" t="n">
        <f aca="false">SUMIF('All Seasons'!$C$2:$C$163,A17,'All Seasons'!$I$2:$I$163)</f>
        <v>21900.2</v>
      </c>
      <c r="H17" s="33" t="n">
        <f aca="false">F17-G17</f>
        <v>998.200000000001</v>
      </c>
      <c r="I17" s="21" t="n">
        <f aca="false">AVERAGEIF('All Seasons'!$C$2:$C$163,A17,'All Seasons'!$L$2:$L$163)</f>
        <v>0.0221087334615451</v>
      </c>
    </row>
    <row r="18" customFormat="false" ht="15" hidden="false" customHeight="false" outlineLevel="0" collapsed="false">
      <c r="A18" s="26" t="s">
        <v>49</v>
      </c>
      <c r="B18" s="27" t="n">
        <f aca="false">COUNTIF('All Seasons'!$C$2:$C$163,A18)</f>
        <v>14</v>
      </c>
      <c r="C18" s="27" t="n">
        <f aca="false">COUNTIFS('All Seasons'!$C$2:$C$163,A18,'All Seasons'!$H$2:$H$163,"Champion")</f>
        <v>2</v>
      </c>
      <c r="D18" s="27" t="n">
        <f aca="false">COUNTIFS('All Seasons'!$C$2:$C$163,A18,'All Seasons'!$H$2:$H$163,"Runner-Up")</f>
        <v>2</v>
      </c>
      <c r="E18" s="27" t="n">
        <f aca="false">SUMIFS('All Seasons'!$M$2:$M$163,'All Seasons'!$C$2:$C$163,A18)</f>
        <v>0</v>
      </c>
      <c r="F18" s="32" t="n">
        <f aca="false">SUMIF('All Seasons'!$C$2:$C$163,A18,'All Seasons'!$G$2:$G$163)</f>
        <v>23226.92</v>
      </c>
      <c r="G18" s="32" t="n">
        <f aca="false">SUMIF('All Seasons'!$C$2:$C$163,A18,'All Seasons'!$I$2:$I$163)</f>
        <v>21820.38</v>
      </c>
      <c r="H18" s="32" t="n">
        <f aca="false">F18-G18</f>
        <v>1406.54</v>
      </c>
      <c r="I18" s="14" t="n">
        <f aca="false">AVERAGEIF('All Seasons'!$C$2:$C$163,A18,'All Seasons'!$L$2:$L$163)</f>
        <v>0.0879021714297631</v>
      </c>
    </row>
    <row r="19" customFormat="false" ht="15" hidden="false" customHeight="false" outlineLevel="0" collapsed="false">
      <c r="A19" s="28" t="s">
        <v>40</v>
      </c>
      <c r="B19" s="29" t="n">
        <f aca="false">COUNTIF('All Seasons'!$C$2:$C$163,A19)</f>
        <v>14</v>
      </c>
      <c r="C19" s="29" t="n">
        <f aca="false">COUNTIFS('All Seasons'!$C$2:$C$163,A19,'All Seasons'!$H$2:$H$163,"Champion")</f>
        <v>2</v>
      </c>
      <c r="D19" s="29" t="n">
        <f aca="false">COUNTIFS('All Seasons'!$C$2:$C$163,A19,'All Seasons'!$H$2:$H$163,"Runner-Up")</f>
        <v>3</v>
      </c>
      <c r="E19" s="29" t="n">
        <f aca="false">SUMIFS('All Seasons'!$M$2:$M$163,'All Seasons'!$C$2:$C$163,A19)</f>
        <v>2</v>
      </c>
      <c r="F19" s="33" t="n">
        <f aca="false">SUMIF('All Seasons'!$C$2:$C$163,A19,'All Seasons'!$G$2:$G$163)</f>
        <v>22600.18</v>
      </c>
      <c r="G19" s="33" t="n">
        <f aca="false">SUMIF('All Seasons'!$C$2:$C$163,A19,'All Seasons'!$I$2:$I$163)</f>
        <v>22290.22</v>
      </c>
      <c r="H19" s="33" t="n">
        <f aca="false">F19-G19</f>
        <v>309.959999999999</v>
      </c>
      <c r="I19" s="21" t="n">
        <f aca="false">AVERAGEIF('All Seasons'!$C$2:$C$163,A19,'All Seasons'!$L$2:$L$163)</f>
        <v>0.0419853671534804</v>
      </c>
    </row>
    <row r="20" customFormat="false" ht="15" hidden="false" customHeight="false" outlineLevel="0" collapsed="false">
      <c r="A20" s="34" t="s">
        <v>55</v>
      </c>
      <c r="B20" s="35" t="n">
        <f aca="false">COUNTIF('All Seasons'!$C$2:$C$163,A20)</f>
        <v>14</v>
      </c>
      <c r="C20" s="35" t="n">
        <f aca="false">COUNTIFS('All Seasons'!$C$2:$C$163,A20,'All Seasons'!$H$2:$H$163,"Champion")</f>
        <v>3</v>
      </c>
      <c r="D20" s="35" t="n">
        <f aca="false">COUNTIFS('All Seasons'!$C$2:$C$163,A20,'All Seasons'!$H$2:$H$163,"Runner-Up")</f>
        <v>1</v>
      </c>
      <c r="E20" s="35" t="n">
        <f aca="false">SUMIFS('All Seasons'!$M$2:$M$163,'All Seasons'!$C$2:$C$163,A20)</f>
        <v>1</v>
      </c>
      <c r="F20" s="37" t="n">
        <f aca="false">SUMIF('All Seasons'!$C$2:$C$163,A20,'All Seasons'!$G$2:$G$163)</f>
        <v>22505.04</v>
      </c>
      <c r="G20" s="37" t="n">
        <f aca="false">SUMIF('All Seasons'!$C$2:$C$163,A20,'All Seasons'!$I$2:$I$163)</f>
        <v>21398.1</v>
      </c>
      <c r="H20" s="37" t="n">
        <f aca="false">F20-G20</f>
        <v>1106.94</v>
      </c>
      <c r="I20" s="48" t="n">
        <f aca="false">AVERAGEIF('All Seasons'!$C$2:$C$163,A20,'All Seasons'!$L$2:$L$163)</f>
        <v>0.011661917933756</v>
      </c>
    </row>
    <row r="21" customFormat="false" ht="15" hidden="false" customHeight="false" outlineLevel="0" collapsed="false">
      <c r="A21" s="30" t="s">
        <v>163</v>
      </c>
    </row>
    <row r="22" customFormat="false" ht="15" hidden="false" customHeight="false" outlineLevel="0" collapsed="false">
      <c r="A22" s="30" t="s">
        <v>164</v>
      </c>
    </row>
    <row r="25" customFormat="false" ht="16.15" hidden="false" customHeight="false" outlineLevel="0" collapsed="false">
      <c r="A25" s="46" t="s">
        <v>165</v>
      </c>
    </row>
    <row r="26" customFormat="false" ht="15" hidden="false" customHeight="false" outlineLevel="0" collapsed="false">
      <c r="A26" s="49" t="s">
        <v>27</v>
      </c>
      <c r="B26" s="49" t="s">
        <v>48</v>
      </c>
      <c r="C26" s="49" t="s">
        <v>166</v>
      </c>
      <c r="D26" s="49" t="s">
        <v>167</v>
      </c>
      <c r="E26" s="49" t="s">
        <v>168</v>
      </c>
      <c r="F26" s="49" t="s">
        <v>169</v>
      </c>
    </row>
    <row r="27" customFormat="false" ht="15" hidden="false" customHeight="false" outlineLevel="0" collapsed="false">
      <c r="A27" s="28" t="n">
        <v>2012</v>
      </c>
      <c r="B27" s="29" t="str">
        <f aca="false">INDEX('All Seasons'!$C$2:$C$163,MATCH(1,('All Seasons'!$A$2:$A$163=A27)*('All Seasons'!$H$2:$H$163="Champion"),0))</f>
        <v>JPeters19</v>
      </c>
      <c r="C27" s="29" t="str">
        <f aca="false">INDEX('All Seasons'!$C$2:$C$163,MATCH(1,('All Seasons'!$A$2:$A$163=A27)*('All Seasons'!$G$2:$G$163=_xlfn.MAXIFS('All Seasons'!$G$2:$G$163,'All Seasons'!$A$2:$A$163,A27)),0))</f>
        <v>GBClark</v>
      </c>
      <c r="D27" s="29" t="str">
        <f aca="false">INDEX('All Seasons'!$C$2:$C$163,MATCH(1,('All Seasons'!$A$2:$A$163=A27)*('All Seasons'!$B$2:$B$163=1),0))</f>
        <v>peterbrune</v>
      </c>
      <c r="E27" s="29" t="str">
        <f aca="false">INDEX('All Seasons'!$C$2:$C$163,MATCH(1,('All Seasons'!$A$2:$A$163=A27)*('All Seasons'!$L$2:$L$163=_xlfn.MAXIFS('All Seasons'!$L$2:$L$163,'All Seasons'!$A$2:$A$163,A27)),0))</f>
        <v>peterbrune</v>
      </c>
      <c r="F27" s="29" t="str">
        <f aca="false">INDEX('All Seasons'!$C$2:$C$163,MATCH(1,('All Seasons'!$A$2:$A$163=A27)*('All Seasons'!$L$2:$L$163=_xlfn.MINIFS('All Seasons'!$L$2:$L$163,'All Seasons'!$A$2:$A$163,A27)),0))</f>
        <v>bcorrigan30</v>
      </c>
    </row>
    <row r="28" customFormat="false" ht="15" hidden="false" customHeight="false" outlineLevel="0" collapsed="false">
      <c r="A28" s="26" t="n">
        <v>2013</v>
      </c>
      <c r="B28" s="27" t="str">
        <f aca="false">INDEX('All Seasons'!$C$2:$C$163,MATCH(1,('All Seasons'!$A$2:$A$163=A28)*('All Seasons'!$H$2:$H$163="Champion"),0))</f>
        <v>jphn744</v>
      </c>
      <c r="C28" s="27" t="str">
        <f aca="false">INDEX('All Seasons'!$C$2:$C$163,MATCH(1,('All Seasons'!$A$2:$A$163=A28)*('All Seasons'!$G$2:$G$163=_xlfn.MAXIFS('All Seasons'!$G$2:$G$163,'All Seasons'!$A$2:$A$163,A28)),0))</f>
        <v>jphn744</v>
      </c>
      <c r="D28" s="27" t="str">
        <f aca="false">INDEX('All Seasons'!$C$2:$C$163,MATCH(1,('All Seasons'!$A$2:$A$163=A28)*('All Seasons'!$B$2:$B$163=1),0))</f>
        <v>YungSimba</v>
      </c>
      <c r="E28" s="27" t="str">
        <f aca="false">INDEX('All Seasons'!$C$2:$C$163,MATCH(1,('All Seasons'!$A$2:$A$163=A28)*('All Seasons'!$L$2:$L$163=_xlfn.MAXIFS('All Seasons'!$L$2:$L$163,'All Seasons'!$A$2:$A$163,A28)),0))</f>
        <v>YungSimba</v>
      </c>
      <c r="F28" s="27" t="str">
        <f aca="false">INDEX('All Seasons'!$C$2:$C$163,MATCH(1,('All Seasons'!$A$2:$A$163=A28)*('All Seasons'!$L$2:$L$163=_xlfn.MINIFS('All Seasons'!$L$2:$L$163,'All Seasons'!$A$2:$A$163,A28)),0))</f>
        <v>TylerKeel</v>
      </c>
    </row>
    <row r="29" customFormat="false" ht="15" hidden="false" customHeight="false" outlineLevel="0" collapsed="false">
      <c r="A29" s="28" t="n">
        <v>2014</v>
      </c>
      <c r="B29" s="29" t="str">
        <f aca="false">INDEX('All Seasons'!$C$2:$C$163,MATCH(1,('All Seasons'!$A$2:$A$163=A29)*('All Seasons'!$H$2:$H$163="Champion"),0))</f>
        <v>jphn744</v>
      </c>
      <c r="C29" s="29" t="str">
        <f aca="false">INDEX('All Seasons'!$C$2:$C$163,MATCH(1,('All Seasons'!$A$2:$A$163=A29)*('All Seasons'!$G$2:$G$163=_xlfn.MAXIFS('All Seasons'!$G$2:$G$163,'All Seasons'!$A$2:$A$163,A29)),0))</f>
        <v>kdavis</v>
      </c>
      <c r="D29" s="29" t="str">
        <f aca="false">INDEX('All Seasons'!$C$2:$C$163,MATCH(1,('All Seasons'!$A$2:$A$163=A29)*('All Seasons'!$B$2:$B$163=1),0))</f>
        <v>kdavis</v>
      </c>
      <c r="E29" s="29" t="str">
        <f aca="false">INDEX('All Seasons'!$C$2:$C$163,MATCH(1,('All Seasons'!$A$2:$A$163=A29)*('All Seasons'!$L$2:$L$163=_xlfn.MAXIFS('All Seasons'!$L$2:$L$163,'All Seasons'!$A$2:$A$163,A29)),0))</f>
        <v>kdavis</v>
      </c>
      <c r="F29" s="29" t="str">
        <f aca="false">INDEX('All Seasons'!$C$2:$C$163,MATCH(1,('All Seasons'!$A$2:$A$163=A29)*('All Seasons'!$L$2:$L$163=_xlfn.MINIFS('All Seasons'!$L$2:$L$163,'All Seasons'!$A$2:$A$163,A29)),0))</f>
        <v>TylerKeel</v>
      </c>
    </row>
    <row r="30" customFormat="false" ht="15" hidden="false" customHeight="false" outlineLevel="0" collapsed="false">
      <c r="A30" s="26" t="n">
        <v>2015</v>
      </c>
      <c r="B30" s="27" t="str">
        <f aca="false">INDEX('All Seasons'!$C$2:$C$163,MATCH(1,('All Seasons'!$A$2:$A$163=A30)*('All Seasons'!$H$2:$H$163="Champion"),0))</f>
        <v>peterbrune</v>
      </c>
      <c r="C30" s="27" t="str">
        <f aca="false">INDEX('All Seasons'!$C$2:$C$163,MATCH(1,('All Seasons'!$A$2:$A$163=A30)*('All Seasons'!$G$2:$G$163=_xlfn.MAXIFS('All Seasons'!$G$2:$G$163,'All Seasons'!$A$2:$A$163,A30)),0))</f>
        <v>kdavis</v>
      </c>
      <c r="D30" s="27" t="str">
        <f aca="false">INDEX('All Seasons'!$C$2:$C$163,MATCH(1,('All Seasons'!$A$2:$A$163=A30)*('All Seasons'!$B$2:$B$163=1),0))</f>
        <v>YungSimba</v>
      </c>
      <c r="E30" s="27" t="str">
        <f aca="false">INDEX('All Seasons'!$C$2:$C$163,MATCH(1,('All Seasons'!$A$2:$A$163=A30)*('All Seasons'!$L$2:$L$163=_xlfn.MAXIFS('All Seasons'!$L$2:$L$163,'All Seasons'!$A$2:$A$163,A30)),0))</f>
        <v>SeanOMara</v>
      </c>
      <c r="F30" s="27" t="str">
        <f aca="false">INDEX('All Seasons'!$C$2:$C$163,MATCH(1,('All Seasons'!$A$2:$A$163=A30)*('All Seasons'!$L$2:$L$163=_xlfn.MINIFS('All Seasons'!$L$2:$L$163,'All Seasons'!$A$2:$A$163,A30)),0))</f>
        <v>assif</v>
      </c>
    </row>
    <row r="31" customFormat="false" ht="15" hidden="false" customHeight="false" outlineLevel="0" collapsed="false">
      <c r="A31" s="28" t="n">
        <v>2016</v>
      </c>
      <c r="B31" s="29" t="str">
        <f aca="false">INDEX('All Seasons'!$C$2:$C$163,MATCH(1,('All Seasons'!$A$2:$A$163=A31)*('All Seasons'!$H$2:$H$163="Champion"),0))</f>
        <v>peterbrune</v>
      </c>
      <c r="C31" s="29" t="str">
        <f aca="false">INDEX('All Seasons'!$C$2:$C$163,MATCH(1,('All Seasons'!$A$2:$A$163=A31)*('All Seasons'!$G$2:$G$163=_xlfn.MAXIFS('All Seasons'!$G$2:$G$163,'All Seasons'!$A$2:$A$163,A31)),0))</f>
        <v>assif</v>
      </c>
      <c r="D31" s="29" t="str">
        <f aca="false">INDEX('All Seasons'!$C$2:$C$163,MATCH(1,('All Seasons'!$A$2:$A$163=A31)*('All Seasons'!$B$2:$B$163=1),0))</f>
        <v>assif</v>
      </c>
      <c r="E31" s="29" t="str">
        <f aca="false">INDEX('All Seasons'!$C$2:$C$163,MATCH(1,('All Seasons'!$A$2:$A$163=A31)*('All Seasons'!$L$2:$L$163=_xlfn.MAXIFS('All Seasons'!$L$2:$L$163,'All Seasons'!$A$2:$A$163,A31)),0))</f>
        <v>assif</v>
      </c>
      <c r="F31" s="29" t="str">
        <f aca="false">INDEX('All Seasons'!$C$2:$C$163,MATCH(1,('All Seasons'!$A$2:$A$163=A31)*('All Seasons'!$L$2:$L$163=_xlfn.MINIFS('All Seasons'!$L$2:$L$163,'All Seasons'!$A$2:$A$163,A31)),0))</f>
        <v>thowd</v>
      </c>
    </row>
    <row r="32" customFormat="false" ht="15" hidden="false" customHeight="false" outlineLevel="0" collapsed="false">
      <c r="A32" s="26" t="n">
        <v>2017</v>
      </c>
      <c r="B32" s="27" t="str">
        <f aca="false">INDEX('All Seasons'!$C$2:$C$163,MATCH(1,('All Seasons'!$A$2:$A$163=A32)*('All Seasons'!$H$2:$H$163="Champion"),0))</f>
        <v>thowd</v>
      </c>
      <c r="C32" s="27" t="str">
        <f aca="false">INDEX('All Seasons'!$C$2:$C$163,MATCH(1,('All Seasons'!$A$2:$A$163=A32)*('All Seasons'!$G$2:$G$163=_xlfn.MAXIFS('All Seasons'!$G$2:$G$163,'All Seasons'!$A$2:$A$163,A32)),0))</f>
        <v>jphn744</v>
      </c>
      <c r="D32" s="27" t="str">
        <f aca="false">INDEX('All Seasons'!$C$2:$C$163,MATCH(1,('All Seasons'!$A$2:$A$163=A32)*('All Seasons'!$B$2:$B$163=1),0))</f>
        <v>kdavis</v>
      </c>
      <c r="E32" s="27" t="str">
        <f aca="false">INDEX('All Seasons'!$C$2:$C$163,MATCH(1,('All Seasons'!$A$2:$A$163=A32)*('All Seasons'!$L$2:$L$163=_xlfn.MAXIFS('All Seasons'!$L$2:$L$163,'All Seasons'!$A$2:$A$163,A32)),0))</f>
        <v>kdavis</v>
      </c>
      <c r="F32" s="27" t="str">
        <f aca="false">INDEX('All Seasons'!$C$2:$C$163,MATCH(1,('All Seasons'!$A$2:$A$163=A32)*('All Seasons'!$L$2:$L$163=_xlfn.MINIFS('All Seasons'!$L$2:$L$163,'All Seasons'!$A$2:$A$163,A32)),0))</f>
        <v>GBClark</v>
      </c>
    </row>
    <row r="33" customFormat="false" ht="15" hidden="false" customHeight="false" outlineLevel="0" collapsed="false">
      <c r="A33" s="28" t="n">
        <v>2018</v>
      </c>
      <c r="B33" s="29" t="str">
        <f aca="false">INDEX('All Seasons'!$C$2:$C$163,MATCH(1,('All Seasons'!$A$2:$A$163=A33)*('All Seasons'!$H$2:$H$163="Champion"),0))</f>
        <v>kdavis</v>
      </c>
      <c r="C33" s="29" t="str">
        <f aca="false">INDEX('All Seasons'!$C$2:$C$163,MATCH(1,('All Seasons'!$A$2:$A$163=A33)*('All Seasons'!$G$2:$G$163=_xlfn.MAXIFS('All Seasons'!$G$2:$G$163,'All Seasons'!$A$2:$A$163,A33)),0))</f>
        <v>kdavis</v>
      </c>
      <c r="D33" s="29" t="str">
        <f aca="false">INDEX('All Seasons'!$C$2:$C$163,MATCH(1,('All Seasons'!$A$2:$A$163=A33)*('All Seasons'!$B$2:$B$163=1),0))</f>
        <v>kdavis</v>
      </c>
      <c r="E33" s="29" t="str">
        <f aca="false">INDEX('All Seasons'!$C$2:$C$163,MATCH(1,('All Seasons'!$A$2:$A$163=A33)*('All Seasons'!$L$2:$L$163=_xlfn.MAXIFS('All Seasons'!$L$2:$L$163,'All Seasons'!$A$2:$A$163,A33)),0))</f>
        <v>kdavis</v>
      </c>
      <c r="F33" s="29" t="str">
        <f aca="false">INDEX('All Seasons'!$C$2:$C$163,MATCH(1,('All Seasons'!$A$2:$A$163=A33)*('All Seasons'!$L$2:$L$163=_xlfn.MINIFS('All Seasons'!$L$2:$L$163,'All Seasons'!$A$2:$A$163,A33)),0))</f>
        <v>TylerKeel</v>
      </c>
    </row>
    <row r="34" customFormat="false" ht="15" hidden="false" customHeight="false" outlineLevel="0" collapsed="false">
      <c r="A34" s="26" t="n">
        <v>2019</v>
      </c>
      <c r="B34" s="27" t="str">
        <f aca="false">INDEX('All Seasons'!$C$2:$C$163,MATCH(1,('All Seasons'!$A$2:$A$163=A34)*('All Seasons'!$H$2:$H$163="Champion"),0))</f>
        <v>thowd</v>
      </c>
      <c r="C34" s="27" t="str">
        <f aca="false">INDEX('All Seasons'!$C$2:$C$163,MATCH(1,('All Seasons'!$A$2:$A$163=A34)*('All Seasons'!$G$2:$G$163=_xlfn.MAXIFS('All Seasons'!$G$2:$G$163,'All Seasons'!$A$2:$A$163,A34)),0))</f>
        <v>kdavis</v>
      </c>
      <c r="D34" s="27" t="str">
        <f aca="false">INDEX('All Seasons'!$C$2:$C$163,MATCH(1,('All Seasons'!$A$2:$A$163=A34)*('All Seasons'!$B$2:$B$163=1),0))</f>
        <v>JPeters19</v>
      </c>
      <c r="E34" s="27" t="str">
        <f aca="false">INDEX('All Seasons'!$C$2:$C$163,MATCH(1,('All Seasons'!$A$2:$A$163=A34)*('All Seasons'!$L$2:$L$163=_xlfn.MAXIFS('All Seasons'!$L$2:$L$163,'All Seasons'!$A$2:$A$163,A34)),0))</f>
        <v>bcorrigan30</v>
      </c>
      <c r="F34" s="27" t="str">
        <f aca="false">INDEX('All Seasons'!$C$2:$C$163,MATCH(1,('All Seasons'!$A$2:$A$163=A34)*('All Seasons'!$L$2:$L$163=_xlfn.MINIFS('All Seasons'!$L$2:$L$163,'All Seasons'!$A$2:$A$163,A34)),0))</f>
        <v>assif</v>
      </c>
    </row>
    <row r="35" customFormat="false" ht="15" hidden="false" customHeight="false" outlineLevel="0" collapsed="false">
      <c r="A35" s="28" t="n">
        <v>2020</v>
      </c>
      <c r="B35" s="29" t="str">
        <f aca="false">INDEX('All Seasons'!$C$2:$C$163,MATCH(1,('All Seasons'!$A$2:$A$163=A35)*('All Seasons'!$H$2:$H$163="Champion"),0))</f>
        <v>dnevels8</v>
      </c>
      <c r="C35" s="29" t="str">
        <f aca="false">INDEX('All Seasons'!$C$2:$C$163,MATCH(1,('All Seasons'!$A$2:$A$163=A35)*('All Seasons'!$G$2:$G$163=_xlfn.MAXIFS('All Seasons'!$G$2:$G$163,'All Seasons'!$A$2:$A$163,A35)),0))</f>
        <v>kdavis</v>
      </c>
      <c r="D35" s="29" t="str">
        <f aca="false">INDEX('All Seasons'!$C$2:$C$163,MATCH(1,('All Seasons'!$A$2:$A$163=A35)*('All Seasons'!$B$2:$B$163=1),0))</f>
        <v>kdavis</v>
      </c>
      <c r="E35" s="29" t="str">
        <f aca="false">INDEX('All Seasons'!$C$2:$C$163,MATCH(1,('All Seasons'!$A$2:$A$163=A35)*('All Seasons'!$L$2:$L$163=_xlfn.MAXIFS('All Seasons'!$L$2:$L$163,'All Seasons'!$A$2:$A$163,A35)),0))</f>
        <v>kdavis</v>
      </c>
      <c r="F35" s="29" t="str">
        <f aca="false">INDEX('All Seasons'!$C$2:$C$163,MATCH(1,('All Seasons'!$A$2:$A$163=A35)*('All Seasons'!$L$2:$L$163=_xlfn.MINIFS('All Seasons'!$L$2:$L$163,'All Seasons'!$A$2:$A$163,A35)),0))</f>
        <v>TylerKeel</v>
      </c>
    </row>
    <row r="36" customFormat="false" ht="15" hidden="false" customHeight="false" outlineLevel="0" collapsed="false">
      <c r="A36" s="26" t="n">
        <v>2021</v>
      </c>
      <c r="B36" s="27" t="str">
        <f aca="false">INDEX('All Seasons'!$C$2:$C$163,MATCH(1,('All Seasons'!$A$2:$A$163=A36)*('All Seasons'!$H$2:$H$163="Champion"),0))</f>
        <v>jphn744</v>
      </c>
      <c r="C36" s="27" t="str">
        <f aca="false">INDEX('All Seasons'!$C$2:$C$163,MATCH(1,('All Seasons'!$A$2:$A$163=A36)*('All Seasons'!$G$2:$G$163=_xlfn.MAXIFS('All Seasons'!$G$2:$G$163,'All Seasons'!$A$2:$A$163,A36)),0))</f>
        <v>peterbrune</v>
      </c>
      <c r="D36" s="27" t="str">
        <f aca="false">INDEX('All Seasons'!$C$2:$C$163,MATCH(1,('All Seasons'!$A$2:$A$163=A36)*('All Seasons'!$B$2:$B$163=1),0))</f>
        <v>jphn744</v>
      </c>
      <c r="E36" s="27" t="str">
        <f aca="false">INDEX('All Seasons'!$C$2:$C$163,MATCH(1,('All Seasons'!$A$2:$A$163=A36)*('All Seasons'!$L$2:$L$163=_xlfn.MAXIFS('All Seasons'!$L$2:$L$163,'All Seasons'!$A$2:$A$163,A36)),0))</f>
        <v>jphn744</v>
      </c>
      <c r="F36" s="27" t="str">
        <f aca="false">INDEX('All Seasons'!$C$2:$C$163,MATCH(1,('All Seasons'!$A$2:$A$163=A36)*('All Seasons'!$L$2:$L$163=_xlfn.MINIFS('All Seasons'!$L$2:$L$163,'All Seasons'!$A$2:$A$163,A36)),0))</f>
        <v>GBClark</v>
      </c>
    </row>
    <row r="37" customFormat="false" ht="15" hidden="false" customHeight="false" outlineLevel="0" collapsed="false">
      <c r="A37" s="28" t="n">
        <v>2022</v>
      </c>
      <c r="B37" s="29" t="str">
        <f aca="false">INDEX('All Seasons'!$C$2:$C$163,MATCH(1,('All Seasons'!$A$2:$A$163=A37)*('All Seasons'!$H$2:$H$163="Champion"),0))</f>
        <v>kdavis</v>
      </c>
      <c r="C37" s="29" t="str">
        <f aca="false">INDEX('All Seasons'!$C$2:$C$163,MATCH(1,('All Seasons'!$A$2:$A$163=A37)*('All Seasons'!$G$2:$G$163=_xlfn.MAXIFS('All Seasons'!$G$2:$G$163,'All Seasons'!$A$2:$A$163,A37)),0))</f>
        <v>peterbrune</v>
      </c>
      <c r="D37" s="29" t="str">
        <f aca="false">INDEX('All Seasons'!$C$2:$C$163,MATCH(1,('All Seasons'!$A$2:$A$163=A37)*('All Seasons'!$B$2:$B$163=1),0))</f>
        <v>peterbrune</v>
      </c>
      <c r="E37" s="29" t="str">
        <f aca="false">INDEX('All Seasons'!$C$2:$C$163,MATCH(1,('All Seasons'!$A$2:$A$163=A37)*('All Seasons'!$L$2:$L$163=_xlfn.MAXIFS('All Seasons'!$L$2:$L$163,'All Seasons'!$A$2:$A$163,A37)),0))</f>
        <v>peterbrune</v>
      </c>
      <c r="F37" s="29" t="str">
        <f aca="false">INDEX('All Seasons'!$C$2:$C$163,MATCH(1,('All Seasons'!$A$2:$A$163=A37)*('All Seasons'!$L$2:$L$163=_xlfn.MINIFS('All Seasons'!$L$2:$L$163,'All Seasons'!$A$2:$A$163,A37)),0))</f>
        <v>JPeters19</v>
      </c>
    </row>
    <row r="38" customFormat="false" ht="15" hidden="false" customHeight="false" outlineLevel="0" collapsed="false">
      <c r="A38" s="26" t="n">
        <v>2023</v>
      </c>
      <c r="B38" s="27" t="str">
        <f aca="false">INDEX('All Seasons'!$C$2:$C$163,MATCH(1,('All Seasons'!$A$2:$A$163=A38)*('All Seasons'!$H$2:$H$163="Champion"),0))</f>
        <v>jphn744</v>
      </c>
      <c r="C38" s="27" t="str">
        <f aca="false">INDEX('All Seasons'!$C$2:$C$163,MATCH(1,('All Seasons'!$A$2:$A$163=A38)*('All Seasons'!$G$2:$G$163=_xlfn.MAXIFS('All Seasons'!$G$2:$G$163,'All Seasons'!$A$2:$A$163,A38)),0))</f>
        <v>jphn744</v>
      </c>
      <c r="D38" s="27" t="str">
        <f aca="false">INDEX('All Seasons'!$C$2:$C$163,MATCH(1,('All Seasons'!$A$2:$A$163=A38)*('All Seasons'!$B$2:$B$163=1),0))</f>
        <v>jphn744</v>
      </c>
      <c r="E38" s="27" t="str">
        <f aca="false">INDEX('All Seasons'!$C$2:$C$163,MATCH(1,('All Seasons'!$A$2:$A$163=A38)*('All Seasons'!$L$2:$L$163=_xlfn.MAXIFS('All Seasons'!$L$2:$L$163,'All Seasons'!$A$2:$A$163,A38)),0))</f>
        <v>jphn744</v>
      </c>
      <c r="F38" s="27" t="str">
        <f aca="false">INDEX('All Seasons'!$C$2:$C$163,MATCH(1,('All Seasons'!$A$2:$A$163=A38)*('All Seasons'!$L$2:$L$163=_xlfn.MINIFS('All Seasons'!$L$2:$L$163,'All Seasons'!$A$2:$A$163,A38)),0))</f>
        <v>amenr5</v>
      </c>
    </row>
    <row r="39" customFormat="false" ht="15" hidden="false" customHeight="false" outlineLevel="0" collapsed="false">
      <c r="A39" s="28" t="n">
        <v>2024</v>
      </c>
      <c r="B39" s="29" t="str">
        <f aca="false">INDEX('All Seasons'!$C$2:$C$163,MATCH(1,('All Seasons'!$A$2:$A$163=A39)*('All Seasons'!$H$2:$H$163="Champion"),0))</f>
        <v>jphn744</v>
      </c>
      <c r="C39" s="29" t="str">
        <f aca="false">INDEX('All Seasons'!$C$2:$C$163,MATCH(1,('All Seasons'!$A$2:$A$163=A39)*('All Seasons'!$G$2:$G$163=_xlfn.MAXIFS('All Seasons'!$G$2:$G$163,'All Seasons'!$A$2:$A$163,A39)),0))</f>
        <v>bcorrigan30</v>
      </c>
      <c r="D39" s="29" t="str">
        <f aca="false">INDEX('All Seasons'!$C$2:$C$163,MATCH(1,('All Seasons'!$A$2:$A$163=A39)*('All Seasons'!$B$2:$B$163=1),0))</f>
        <v>kdavis</v>
      </c>
      <c r="E39" s="29" t="str">
        <f aca="false">INDEX('All Seasons'!$C$2:$C$163,MATCH(1,('All Seasons'!$A$2:$A$163=A39)*('All Seasons'!$L$2:$L$163=_xlfn.MAXIFS('All Seasons'!$L$2:$L$163,'All Seasons'!$A$2:$A$163,A39)),0))</f>
        <v>kdavis</v>
      </c>
      <c r="F39" s="29" t="str">
        <f aca="false">INDEX('All Seasons'!$C$2:$C$163,MATCH(1,('All Seasons'!$A$2:$A$163=A39)*('All Seasons'!$L$2:$L$163=_xlfn.MINIFS('All Seasons'!$L$2:$L$163,'All Seasons'!$A$2:$A$163,A39)),0))</f>
        <v>dnevels8</v>
      </c>
    </row>
    <row r="40" customFormat="false" ht="15" hidden="false" customHeight="false" outlineLevel="0" collapsed="false">
      <c r="A40" s="26" t="n">
        <v>2025</v>
      </c>
      <c r="B40" s="27" t="str">
        <f aca="false">INDEX('All Seasons'!$C$2:$C$163,MATCH(1,('All Seasons'!$A$2:$A$163=A40)*('All Seasons'!$H$2:$H$163="Champion"),0))</f>
        <v>thowd</v>
      </c>
      <c r="C40" s="27" t="str">
        <f aca="false">INDEX('All Seasons'!$C$2:$C$163,MATCH(1,('All Seasons'!$A$2:$A$163=A40)*('All Seasons'!$G$2:$G$163=_xlfn.MAXIFS('All Seasons'!$G$2:$G$163,'All Seasons'!$A$2:$A$163,A40)),0))</f>
        <v>bcorrigan30</v>
      </c>
      <c r="D40" s="27" t="str">
        <f aca="false">INDEX('All Seasons'!$C$2:$C$163,MATCH(1,('All Seasons'!$A$2:$A$163=A40)*('All Seasons'!$B$2:$B$163=1),0))</f>
        <v>bcorrigan30</v>
      </c>
      <c r="E40" s="27" t="str">
        <f aca="false">INDEX('All Seasons'!$C$2:$C$163,MATCH(1,('All Seasons'!$A$2:$A$163=A40)*('All Seasons'!$L$2:$L$163=_xlfn.MAXIFS('All Seasons'!$L$2:$L$163,'All Seasons'!$A$2:$A$163,A40)),0))</f>
        <v>bcorrigan30</v>
      </c>
      <c r="F40" s="27" t="str">
        <f aca="false">INDEX('All Seasons'!$C$2:$C$163,MATCH(1,('All Seasons'!$A$2:$A$163=A40)*('All Seasons'!$L$2:$L$163=_xlfn.MINIFS('All Seasons'!$L$2:$L$163,'All Seasons'!$A$2:$A$163,A40)),0))</f>
        <v>Keughes</v>
      </c>
    </row>
    <row r="43" customFormat="false" ht="16.15" hidden="false" customHeight="false" outlineLevel="0" collapsed="false">
      <c r="A43" s="46" t="s">
        <v>170</v>
      </c>
    </row>
    <row r="44" customFormat="false" ht="15" hidden="false" customHeight="false" outlineLevel="0" collapsed="false">
      <c r="A44" s="30" t="s">
        <v>171</v>
      </c>
    </row>
    <row r="45" customFormat="false" ht="15" hidden="false" customHeight="false" outlineLevel="0" collapsed="false">
      <c r="A45" s="50" t="s">
        <v>29</v>
      </c>
      <c r="B45" s="50" t="s">
        <v>172</v>
      </c>
      <c r="C45" s="50" t="s">
        <v>173</v>
      </c>
    </row>
    <row r="46" customFormat="false" ht="30" hidden="false" customHeight="true" outlineLevel="0" collapsed="false">
      <c r="A46" s="51" t="s">
        <v>61</v>
      </c>
      <c r="B46" s="52" t="s">
        <v>174</v>
      </c>
      <c r="C46" s="53" t="s">
        <v>175</v>
      </c>
    </row>
    <row r="47" customFormat="false" ht="30" hidden="false" customHeight="true" outlineLevel="0" collapsed="false">
      <c r="A47" s="54" t="s">
        <v>49</v>
      </c>
      <c r="B47" s="55" t="s">
        <v>176</v>
      </c>
      <c r="C47" s="56" t="s">
        <v>177</v>
      </c>
    </row>
    <row r="48" customFormat="false" ht="30" hidden="false" customHeight="true" outlineLevel="0" collapsed="false">
      <c r="A48" s="51" t="s">
        <v>63</v>
      </c>
      <c r="B48" s="52" t="s">
        <v>178</v>
      </c>
      <c r="C48" s="53" t="s">
        <v>179</v>
      </c>
    </row>
    <row r="49" customFormat="false" ht="30" hidden="false" customHeight="true" outlineLevel="0" collapsed="false">
      <c r="A49" s="54" t="s">
        <v>55</v>
      </c>
      <c r="B49" s="55" t="s">
        <v>180</v>
      </c>
      <c r="C49" s="56" t="s">
        <v>181</v>
      </c>
    </row>
    <row r="50" customFormat="false" ht="30" hidden="false" customHeight="true" outlineLevel="0" collapsed="false">
      <c r="A50" s="51" t="s">
        <v>57</v>
      </c>
      <c r="B50" s="52" t="s">
        <v>182</v>
      </c>
      <c r="C50" s="53" t="s">
        <v>183</v>
      </c>
    </row>
    <row r="51" customFormat="false" ht="30" hidden="false" customHeight="true" outlineLevel="0" collapsed="false">
      <c r="A51" s="54" t="s">
        <v>40</v>
      </c>
      <c r="B51" s="55" t="s">
        <v>184</v>
      </c>
      <c r="C51" s="56" t="s">
        <v>185</v>
      </c>
    </row>
    <row r="52" customFormat="false" ht="30" hidden="false" customHeight="true" outlineLevel="0" collapsed="false">
      <c r="A52" s="51" t="s">
        <v>52</v>
      </c>
      <c r="B52" s="52" t="s">
        <v>186</v>
      </c>
      <c r="C52" s="53" t="s">
        <v>187</v>
      </c>
    </row>
    <row r="53" customFormat="false" ht="30" hidden="false" customHeight="true" outlineLevel="0" collapsed="false">
      <c r="A53" s="54" t="s">
        <v>68</v>
      </c>
      <c r="B53" s="55" t="s">
        <v>188</v>
      </c>
      <c r="C53" s="56" t="s">
        <v>189</v>
      </c>
    </row>
    <row r="54" customFormat="false" ht="30" hidden="false" customHeight="true" outlineLevel="0" collapsed="false">
      <c r="A54" s="51" t="s">
        <v>43</v>
      </c>
      <c r="B54" s="52" t="s">
        <v>190</v>
      </c>
      <c r="C54" s="53" t="s">
        <v>191</v>
      </c>
    </row>
    <row r="55" customFormat="false" ht="30" hidden="false" customHeight="true" outlineLevel="0" collapsed="false">
      <c r="A55" s="54" t="s">
        <v>65</v>
      </c>
      <c r="B55" s="55" t="s">
        <v>192</v>
      </c>
      <c r="C55" s="56" t="s">
        <v>193</v>
      </c>
    </row>
    <row r="56" customFormat="false" ht="30" hidden="false" customHeight="true" outlineLevel="0" collapsed="false">
      <c r="A56" s="51" t="s">
        <v>59</v>
      </c>
      <c r="B56" s="52" t="s">
        <v>194</v>
      </c>
      <c r="C56" s="53" t="s">
        <v>195</v>
      </c>
    </row>
    <row r="57" customFormat="false" ht="30" hidden="false" customHeight="true" outlineLevel="0" collapsed="false">
      <c r="A57" s="54" t="s">
        <v>118</v>
      </c>
      <c r="B57" s="55" t="s">
        <v>196</v>
      </c>
      <c r="C57" s="56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2026-07-08T04:38:23Z</dcterms:created>
  <dc:creator>openpyxl</dc:creator>
  <dc:description/>
  <dc:language>en-US</dc:language>
  <cp:lastModifiedBy/>
  <dcterms:modified xsi:type="dcterms:W3CDTF">2026-07-08T04:38:23Z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